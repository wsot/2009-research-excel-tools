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420" windowWidth="18795" windowHeight="11055" firstSheet="1" activeTab="1"/>
  </bookViews>
  <sheets>
    <sheet name="Review norm" sheetId="13" r:id="rId1"/>
    <sheet name="Review" sheetId="12" r:id="rId2"/>
    <sheet name="All HR" sheetId="6" r:id="rId3"/>
    <sheet name="&lt;280" sheetId="1" r:id="rId4"/>
    <sheet name="280-290" sheetId="2" r:id="rId5"/>
    <sheet name="290-300" sheetId="3" r:id="rId6"/>
    <sheet name="300-310" sheetId="4" r:id="rId7"/>
    <sheet name="310-320" sheetId="5" r:id="rId8"/>
    <sheet name="320-330" sheetId="7" r:id="rId9"/>
    <sheet name="330-340" sheetId="8" r:id="rId10"/>
    <sheet name="340-350" sheetId="9" r:id="rId11"/>
    <sheet name="350-360" sheetId="10" r:id="rId12"/>
    <sheet name="&gt;360" sheetId="11" r:id="rId13"/>
  </sheets>
  <calcPr calcId="125725"/>
</workbook>
</file>

<file path=xl/calcChain.xml><?xml version="1.0" encoding="utf-8"?>
<calcChain xmlns="http://schemas.openxmlformats.org/spreadsheetml/2006/main">
  <c r="J70" i="13"/>
  <c r="A70"/>
  <c r="J68"/>
  <c r="A68"/>
  <c r="J54"/>
  <c r="A54"/>
  <c r="J52"/>
  <c r="A52"/>
  <c r="J38"/>
  <c r="A38"/>
  <c r="J36"/>
  <c r="A36"/>
  <c r="J21"/>
  <c r="A21"/>
  <c r="J19"/>
  <c r="A19"/>
  <c r="J5"/>
  <c r="A5"/>
  <c r="J3"/>
  <c r="A3"/>
  <c r="J70" i="12"/>
  <c r="A70"/>
  <c r="J54"/>
  <c r="A54"/>
  <c r="J38"/>
  <c r="A38"/>
  <c r="J21"/>
  <c r="A21"/>
  <c r="J5"/>
  <c r="A5"/>
  <c r="J68"/>
  <c r="A68"/>
  <c r="J52"/>
  <c r="A52"/>
  <c r="J36"/>
  <c r="A36"/>
  <c r="J19"/>
  <c r="J3"/>
  <c r="A19"/>
  <c r="A3"/>
  <c r="B138" i="11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B138" i="10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B138" i="9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B138" i="8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B138" i="7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B138" i="5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B138" i="4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B138" i="3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B138" i="2"/>
  <c r="FF136"/>
  <c r="FF137" s="1"/>
  <c r="FE136"/>
  <c r="FE137" s="1"/>
  <c r="FD136"/>
  <c r="FD137" s="1"/>
  <c r="FC136"/>
  <c r="FC137" s="1"/>
  <c r="FB136"/>
  <c r="FB137" s="1"/>
  <c r="FA136"/>
  <c r="FA137" s="1"/>
  <c r="EZ136"/>
  <c r="EZ137" s="1"/>
  <c r="EY136"/>
  <c r="EY137" s="1"/>
  <c r="EX136"/>
  <c r="EX137" s="1"/>
  <c r="EW136"/>
  <c r="EW137" s="1"/>
  <c r="EV136"/>
  <c r="EV137" s="1"/>
  <c r="EU136"/>
  <c r="EU137" s="1"/>
  <c r="ET136"/>
  <c r="ET137" s="1"/>
  <c r="ES136"/>
  <c r="ES137" s="1"/>
  <c r="ER136"/>
  <c r="ER137" s="1"/>
  <c r="EQ136"/>
  <c r="EQ137" s="1"/>
  <c r="EP136"/>
  <c r="EP137" s="1"/>
  <c r="EO136"/>
  <c r="EO137" s="1"/>
  <c r="EN136"/>
  <c r="EN137" s="1"/>
  <c r="EM136"/>
  <c r="EM137" s="1"/>
  <c r="EL136"/>
  <c r="EL137" s="1"/>
  <c r="EK136"/>
  <c r="EK137" s="1"/>
  <c r="EJ136"/>
  <c r="EJ137" s="1"/>
  <c r="EI136"/>
  <c r="EI137" s="1"/>
  <c r="EH136"/>
  <c r="EH137" s="1"/>
  <c r="EG136"/>
  <c r="EG137" s="1"/>
  <c r="EF136"/>
  <c r="EF137" s="1"/>
  <c r="EE136"/>
  <c r="EE137" s="1"/>
  <c r="ED136"/>
  <c r="ED137" s="1"/>
  <c r="EC136"/>
  <c r="EC137" s="1"/>
  <c r="EB136"/>
  <c r="EB137" s="1"/>
  <c r="EA136"/>
  <c r="EA137" s="1"/>
  <c r="DZ136"/>
  <c r="DZ137" s="1"/>
  <c r="DY136"/>
  <c r="DY137" s="1"/>
  <c r="DX136"/>
  <c r="DX137" s="1"/>
  <c r="DW136"/>
  <c r="DW137" s="1"/>
  <c r="DV136"/>
  <c r="DV137" s="1"/>
  <c r="DU136"/>
  <c r="DU137" s="1"/>
  <c r="DT136"/>
  <c r="DT137" s="1"/>
  <c r="DS136"/>
  <c r="DS137" s="1"/>
  <c r="DR136"/>
  <c r="DR137" s="1"/>
  <c r="DQ136"/>
  <c r="DQ137" s="1"/>
  <c r="DP136"/>
  <c r="DP137" s="1"/>
  <c r="DO136"/>
  <c r="DO137" s="1"/>
  <c r="DN136"/>
  <c r="DN137" s="1"/>
  <c r="DM136"/>
  <c r="DM137" s="1"/>
  <c r="DL136"/>
  <c r="DL137" s="1"/>
  <c r="DK136"/>
  <c r="DK137" s="1"/>
  <c r="DJ136"/>
  <c r="DJ137" s="1"/>
  <c r="DI136"/>
  <c r="DI137" s="1"/>
  <c r="DH136"/>
  <c r="DH137" s="1"/>
  <c r="DG136"/>
  <c r="DG137" s="1"/>
  <c r="DF136"/>
  <c r="DF137" s="1"/>
  <c r="DE136"/>
  <c r="DE137" s="1"/>
  <c r="DD136"/>
  <c r="DD137" s="1"/>
  <c r="DC136"/>
  <c r="DC137" s="1"/>
  <c r="DB136"/>
  <c r="DB137" s="1"/>
  <c r="DA136"/>
  <c r="DA137" s="1"/>
  <c r="CZ136"/>
  <c r="CZ137" s="1"/>
  <c r="CY136"/>
  <c r="CY137" s="1"/>
  <c r="CX136"/>
  <c r="CX137" s="1"/>
  <c r="CW136"/>
  <c r="CW137" s="1"/>
  <c r="CV136"/>
  <c r="CV137" s="1"/>
  <c r="CU136"/>
  <c r="CU137" s="1"/>
  <c r="CT136"/>
  <c r="CT137" s="1"/>
  <c r="CS136"/>
  <c r="CS137" s="1"/>
  <c r="CR136"/>
  <c r="CR137" s="1"/>
  <c r="CQ136"/>
  <c r="CQ137" s="1"/>
  <c r="CP136"/>
  <c r="CP137" s="1"/>
  <c r="CO136"/>
  <c r="CO137" s="1"/>
  <c r="CN136"/>
  <c r="CN137" s="1"/>
  <c r="CM136"/>
  <c r="CM137" s="1"/>
  <c r="CL136"/>
  <c r="CL137" s="1"/>
  <c r="CK136"/>
  <c r="CK137" s="1"/>
  <c r="CJ136"/>
  <c r="CJ137" s="1"/>
  <c r="CI136"/>
  <c r="CI137" s="1"/>
  <c r="CH136"/>
  <c r="CH137" s="1"/>
  <c r="CG136"/>
  <c r="CG137" s="1"/>
  <c r="CF136"/>
  <c r="CF137" s="1"/>
  <c r="CE136"/>
  <c r="CE137" s="1"/>
  <c r="CD136"/>
  <c r="CD137" s="1"/>
  <c r="CC136"/>
  <c r="CC137" s="1"/>
  <c r="CB136"/>
  <c r="CB137" s="1"/>
  <c r="CA136"/>
  <c r="CA137" s="1"/>
  <c r="BZ136"/>
  <c r="BZ137" s="1"/>
  <c r="BY136"/>
  <c r="BY137" s="1"/>
  <c r="BX136"/>
  <c r="BX137" s="1"/>
  <c r="BW136"/>
  <c r="BW137" s="1"/>
  <c r="BV136"/>
  <c r="BV137" s="1"/>
  <c r="BU136"/>
  <c r="BU137" s="1"/>
  <c r="BT136"/>
  <c r="BT137" s="1"/>
  <c r="BS136"/>
  <c r="BS137" s="1"/>
  <c r="BR136"/>
  <c r="BR137" s="1"/>
  <c r="BQ136"/>
  <c r="BQ137" s="1"/>
  <c r="BP136"/>
  <c r="BP137" s="1"/>
  <c r="BO136"/>
  <c r="BO137" s="1"/>
  <c r="BN136"/>
  <c r="BN137" s="1"/>
  <c r="BM136"/>
  <c r="BM137" s="1"/>
  <c r="BL136"/>
  <c r="BL137" s="1"/>
  <c r="BK136"/>
  <c r="BK137" s="1"/>
  <c r="BJ136"/>
  <c r="BJ137" s="1"/>
  <c r="BI136"/>
  <c r="BI137" s="1"/>
  <c r="BH136"/>
  <c r="BH137" s="1"/>
  <c r="BG136"/>
  <c r="BG137" s="1"/>
  <c r="BF136"/>
  <c r="BF137" s="1"/>
  <c r="BE136"/>
  <c r="BE137" s="1"/>
  <c r="BD136"/>
  <c r="BD137" s="1"/>
  <c r="BC136"/>
  <c r="BC137" s="1"/>
  <c r="BB136"/>
  <c r="BB137" s="1"/>
  <c r="BA136"/>
  <c r="BA137" s="1"/>
  <c r="AZ136"/>
  <c r="AZ137" s="1"/>
  <c r="AY136"/>
  <c r="AY137" s="1"/>
  <c r="AX136"/>
  <c r="AX137" s="1"/>
  <c r="AW136"/>
  <c r="AW137" s="1"/>
  <c r="AV136"/>
  <c r="AV137" s="1"/>
  <c r="AU136"/>
  <c r="AU137" s="1"/>
  <c r="AT136"/>
  <c r="AT137" s="1"/>
  <c r="AS136"/>
  <c r="AS137" s="1"/>
  <c r="AR136"/>
  <c r="AR137" s="1"/>
  <c r="AQ136"/>
  <c r="AQ137" s="1"/>
  <c r="AP136"/>
  <c r="AP137" s="1"/>
  <c r="AO136"/>
  <c r="AO137" s="1"/>
  <c r="AN136"/>
  <c r="AN137" s="1"/>
  <c r="AM136"/>
  <c r="AM137" s="1"/>
  <c r="AL136"/>
  <c r="AL137" s="1"/>
  <c r="AK136"/>
  <c r="AK137" s="1"/>
  <c r="AJ136"/>
  <c r="AJ137" s="1"/>
  <c r="AI136"/>
  <c r="AI137" s="1"/>
  <c r="AH136"/>
  <c r="AH137" s="1"/>
  <c r="AG136"/>
  <c r="AG137" s="1"/>
  <c r="AF136"/>
  <c r="AF137" s="1"/>
  <c r="AE136"/>
  <c r="AE137" s="1"/>
  <c r="AD136"/>
  <c r="AD137" s="1"/>
  <c r="AC136"/>
  <c r="AC137" s="1"/>
  <c r="AB136"/>
  <c r="AB137" s="1"/>
  <c r="AA136"/>
  <c r="AA137" s="1"/>
  <c r="Z136"/>
  <c r="Z137" s="1"/>
  <c r="Y136"/>
  <c r="Y137" s="1"/>
  <c r="X136"/>
  <c r="X137" s="1"/>
  <c r="W136"/>
  <c r="W137" s="1"/>
  <c r="V136"/>
  <c r="V137" s="1"/>
  <c r="U136"/>
  <c r="U137" s="1"/>
  <c r="T136"/>
  <c r="T137" s="1"/>
  <c r="S136"/>
  <c r="S137" s="1"/>
  <c r="R136"/>
  <c r="R137" s="1"/>
  <c r="Q136"/>
  <c r="Q137" s="1"/>
  <c r="P136"/>
  <c r="P137" s="1"/>
  <c r="O136"/>
  <c r="O137" s="1"/>
  <c r="N136"/>
  <c r="N137" s="1"/>
  <c r="M136"/>
  <c r="M137" s="1"/>
  <c r="L136"/>
  <c r="L137" s="1"/>
  <c r="K136"/>
  <c r="K137" s="1"/>
  <c r="J136"/>
  <c r="J137" s="1"/>
  <c r="I136"/>
  <c r="I137" s="1"/>
  <c r="H136"/>
  <c r="H137" s="1"/>
  <c r="G136"/>
  <c r="G137" s="1"/>
  <c r="F136"/>
  <c r="F137" s="1"/>
  <c r="E136"/>
  <c r="E137" s="1"/>
  <c r="D136"/>
  <c r="D137" s="1"/>
  <c r="C136"/>
  <c r="C137" s="1"/>
  <c r="B136"/>
  <c r="B137" s="1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C135" i="1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D135"/>
  <c r="AE135"/>
  <c r="AF135"/>
  <c r="AG135"/>
  <c r="AH135"/>
  <c r="AI135"/>
  <c r="AJ135"/>
  <c r="AK135"/>
  <c r="AL135"/>
  <c r="AM135"/>
  <c r="AN135"/>
  <c r="AO135"/>
  <c r="AP135"/>
  <c r="AQ135"/>
  <c r="AR135"/>
  <c r="AS135"/>
  <c r="AT135"/>
  <c r="AU135"/>
  <c r="AV135"/>
  <c r="AW135"/>
  <c r="AX135"/>
  <c r="AY135"/>
  <c r="AZ135"/>
  <c r="BA135"/>
  <c r="BB135"/>
  <c r="BC135"/>
  <c r="BD135"/>
  <c r="BE135"/>
  <c r="BF135"/>
  <c r="BG135"/>
  <c r="BH135"/>
  <c r="BI135"/>
  <c r="BJ135"/>
  <c r="BK135"/>
  <c r="BL135"/>
  <c r="BM135"/>
  <c r="BN135"/>
  <c r="BO135"/>
  <c r="BP135"/>
  <c r="BQ135"/>
  <c r="BR135"/>
  <c r="BS135"/>
  <c r="BT135"/>
  <c r="BU135"/>
  <c r="BV135"/>
  <c r="BW135"/>
  <c r="BX135"/>
  <c r="BY135"/>
  <c r="BZ135"/>
  <c r="CA135"/>
  <c r="CB135"/>
  <c r="CC135"/>
  <c r="CD135"/>
  <c r="CE135"/>
  <c r="CF135"/>
  <c r="CG135"/>
  <c r="CH135"/>
  <c r="CI135"/>
  <c r="CJ135"/>
  <c r="CK135"/>
  <c r="CL135"/>
  <c r="CM135"/>
  <c r="CN135"/>
  <c r="CO135"/>
  <c r="CP135"/>
  <c r="CQ135"/>
  <c r="CR135"/>
  <c r="CS135"/>
  <c r="CT135"/>
  <c r="CU135"/>
  <c r="CV135"/>
  <c r="CW135"/>
  <c r="CX135"/>
  <c r="CY135"/>
  <c r="CZ135"/>
  <c r="DA135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C136"/>
  <c r="C137" s="1"/>
  <c r="D136"/>
  <c r="D137" s="1"/>
  <c r="E136"/>
  <c r="E137" s="1"/>
  <c r="F136"/>
  <c r="F137" s="1"/>
  <c r="G136"/>
  <c r="G137" s="1"/>
  <c r="H136"/>
  <c r="H137" s="1"/>
  <c r="I136"/>
  <c r="I137" s="1"/>
  <c r="J136"/>
  <c r="J137" s="1"/>
  <c r="K136"/>
  <c r="K137" s="1"/>
  <c r="L136"/>
  <c r="L137" s="1"/>
  <c r="M136"/>
  <c r="M137" s="1"/>
  <c r="N136"/>
  <c r="N137" s="1"/>
  <c r="O136"/>
  <c r="O137" s="1"/>
  <c r="P136"/>
  <c r="P137" s="1"/>
  <c r="Q136"/>
  <c r="Q137" s="1"/>
  <c r="R136"/>
  <c r="R137" s="1"/>
  <c r="S136"/>
  <c r="S137" s="1"/>
  <c r="T136"/>
  <c r="T137" s="1"/>
  <c r="U136"/>
  <c r="U137" s="1"/>
  <c r="V136"/>
  <c r="V137" s="1"/>
  <c r="W136"/>
  <c r="W137" s="1"/>
  <c r="X136"/>
  <c r="X137" s="1"/>
  <c r="Y136"/>
  <c r="Y137" s="1"/>
  <c r="Z136"/>
  <c r="Z137" s="1"/>
  <c r="AA136"/>
  <c r="AA137" s="1"/>
  <c r="AB136"/>
  <c r="AB137" s="1"/>
  <c r="AC136"/>
  <c r="AC137" s="1"/>
  <c r="AD136"/>
  <c r="AD137" s="1"/>
  <c r="AE136"/>
  <c r="AE137" s="1"/>
  <c r="AF136"/>
  <c r="AF137" s="1"/>
  <c r="AG136"/>
  <c r="AG137" s="1"/>
  <c r="AH136"/>
  <c r="AH137" s="1"/>
  <c r="AI136"/>
  <c r="AI137" s="1"/>
  <c r="AJ136"/>
  <c r="AJ137" s="1"/>
  <c r="AK136"/>
  <c r="AK137" s="1"/>
  <c r="AL136"/>
  <c r="AL137" s="1"/>
  <c r="AM136"/>
  <c r="AM137" s="1"/>
  <c r="AN136"/>
  <c r="AN137" s="1"/>
  <c r="AO136"/>
  <c r="AO137" s="1"/>
  <c r="AP136"/>
  <c r="AP137" s="1"/>
  <c r="AQ136"/>
  <c r="AQ137" s="1"/>
  <c r="AR136"/>
  <c r="AR137" s="1"/>
  <c r="AS136"/>
  <c r="AS137" s="1"/>
  <c r="AT136"/>
  <c r="AT137" s="1"/>
  <c r="AU136"/>
  <c r="AU137" s="1"/>
  <c r="AV136"/>
  <c r="AV137" s="1"/>
  <c r="AW136"/>
  <c r="AW137" s="1"/>
  <c r="AX136"/>
  <c r="AX137" s="1"/>
  <c r="AY136"/>
  <c r="AY137" s="1"/>
  <c r="AZ136"/>
  <c r="AZ137" s="1"/>
  <c r="BA136"/>
  <c r="BA137" s="1"/>
  <c r="BB136"/>
  <c r="BB137" s="1"/>
  <c r="BC136"/>
  <c r="BC137" s="1"/>
  <c r="BD136"/>
  <c r="BD137" s="1"/>
  <c r="BE136"/>
  <c r="BE137" s="1"/>
  <c r="BF136"/>
  <c r="BF137" s="1"/>
  <c r="BG136"/>
  <c r="BG137" s="1"/>
  <c r="BH136"/>
  <c r="BH137" s="1"/>
  <c r="BI136"/>
  <c r="BI137" s="1"/>
  <c r="BJ136"/>
  <c r="BJ137" s="1"/>
  <c r="BK136"/>
  <c r="BK137" s="1"/>
  <c r="BL136"/>
  <c r="BL137" s="1"/>
  <c r="BM136"/>
  <c r="BM137" s="1"/>
  <c r="BN136"/>
  <c r="BN137" s="1"/>
  <c r="BO136"/>
  <c r="BO137" s="1"/>
  <c r="BP136"/>
  <c r="BP137" s="1"/>
  <c r="BQ136"/>
  <c r="BQ137" s="1"/>
  <c r="BR136"/>
  <c r="BR137" s="1"/>
  <c r="BS136"/>
  <c r="BS137" s="1"/>
  <c r="BT136"/>
  <c r="BT137" s="1"/>
  <c r="BU136"/>
  <c r="BU137" s="1"/>
  <c r="BV136"/>
  <c r="BV137" s="1"/>
  <c r="BW136"/>
  <c r="BW137" s="1"/>
  <c r="BX136"/>
  <c r="BX137" s="1"/>
  <c r="BY136"/>
  <c r="BY137" s="1"/>
  <c r="BZ136"/>
  <c r="BZ137" s="1"/>
  <c r="CA136"/>
  <c r="CA137" s="1"/>
  <c r="CB136"/>
  <c r="CB137" s="1"/>
  <c r="CC136"/>
  <c r="CC137" s="1"/>
  <c r="CD136"/>
  <c r="CD137" s="1"/>
  <c r="CE136"/>
  <c r="CE137" s="1"/>
  <c r="CF136"/>
  <c r="CF137" s="1"/>
  <c r="CG136"/>
  <c r="CG137" s="1"/>
  <c r="CH136"/>
  <c r="CH137" s="1"/>
  <c r="CI136"/>
  <c r="CI137" s="1"/>
  <c r="CJ136"/>
  <c r="CJ137" s="1"/>
  <c r="CK136"/>
  <c r="CK137" s="1"/>
  <c r="CL136"/>
  <c r="CL137" s="1"/>
  <c r="CM136"/>
  <c r="CM137" s="1"/>
  <c r="CN136"/>
  <c r="CN137" s="1"/>
  <c r="CO136"/>
  <c r="CO137" s="1"/>
  <c r="CP136"/>
  <c r="CP137" s="1"/>
  <c r="CQ136"/>
  <c r="CQ137" s="1"/>
  <c r="CR136"/>
  <c r="CR137" s="1"/>
  <c r="CS136"/>
  <c r="CS137" s="1"/>
  <c r="CT136"/>
  <c r="CT137" s="1"/>
  <c r="CU136"/>
  <c r="CU137" s="1"/>
  <c r="CV136"/>
  <c r="CV137" s="1"/>
  <c r="CW136"/>
  <c r="CW137" s="1"/>
  <c r="CX136"/>
  <c r="CX137" s="1"/>
  <c r="CY136"/>
  <c r="CY137" s="1"/>
  <c r="CZ136"/>
  <c r="CZ137" s="1"/>
  <c r="DA136"/>
  <c r="DA137" s="1"/>
  <c r="DB136"/>
  <c r="DB137" s="1"/>
  <c r="DC136"/>
  <c r="DC137" s="1"/>
  <c r="DD136"/>
  <c r="DD137" s="1"/>
  <c r="DE136"/>
  <c r="DE137" s="1"/>
  <c r="DF136"/>
  <c r="DF137" s="1"/>
  <c r="DG136"/>
  <c r="DG137" s="1"/>
  <c r="DH136"/>
  <c r="DH137" s="1"/>
  <c r="DI136"/>
  <c r="DI137" s="1"/>
  <c r="DJ136"/>
  <c r="DJ137" s="1"/>
  <c r="DK136"/>
  <c r="DK137" s="1"/>
  <c r="DL136"/>
  <c r="DL137" s="1"/>
  <c r="DM136"/>
  <c r="DM137" s="1"/>
  <c r="DN136"/>
  <c r="DN137" s="1"/>
  <c r="DO136"/>
  <c r="DO137" s="1"/>
  <c r="DP136"/>
  <c r="DP137" s="1"/>
  <c r="DQ136"/>
  <c r="DQ137" s="1"/>
  <c r="DR136"/>
  <c r="DR137" s="1"/>
  <c r="DS136"/>
  <c r="DS137" s="1"/>
  <c r="DT136"/>
  <c r="DT137" s="1"/>
  <c r="DU136"/>
  <c r="DU137" s="1"/>
  <c r="DV136"/>
  <c r="DV137" s="1"/>
  <c r="DW136"/>
  <c r="DW137" s="1"/>
  <c r="DX136"/>
  <c r="DX137" s="1"/>
  <c r="DY136"/>
  <c r="DY137" s="1"/>
  <c r="DZ136"/>
  <c r="DZ137" s="1"/>
  <c r="EA136"/>
  <c r="EA137" s="1"/>
  <c r="EB136"/>
  <c r="EB137" s="1"/>
  <c r="EC136"/>
  <c r="EC137" s="1"/>
  <c r="ED136"/>
  <c r="ED137" s="1"/>
  <c r="EE136"/>
  <c r="EE137" s="1"/>
  <c r="EF136"/>
  <c r="EF137" s="1"/>
  <c r="EG136"/>
  <c r="EG137" s="1"/>
  <c r="EH136"/>
  <c r="EH137" s="1"/>
  <c r="EI136"/>
  <c r="EI137" s="1"/>
  <c r="EJ136"/>
  <c r="EJ137" s="1"/>
  <c r="EK136"/>
  <c r="EK137" s="1"/>
  <c r="EL136"/>
  <c r="EL137" s="1"/>
  <c r="EM136"/>
  <c r="EM137" s="1"/>
  <c r="EN136"/>
  <c r="EN137" s="1"/>
  <c r="EO136"/>
  <c r="EO137" s="1"/>
  <c r="EP136"/>
  <c r="EP137" s="1"/>
  <c r="EQ136"/>
  <c r="EQ137" s="1"/>
  <c r="ER136"/>
  <c r="ER137" s="1"/>
  <c r="ES136"/>
  <c r="ES137" s="1"/>
  <c r="ET136"/>
  <c r="ET137" s="1"/>
  <c r="EU136"/>
  <c r="EU137" s="1"/>
  <c r="EV136"/>
  <c r="EV137" s="1"/>
  <c r="EW136"/>
  <c r="EW137" s="1"/>
  <c r="EX136"/>
  <c r="EX137" s="1"/>
  <c r="EY136"/>
  <c r="EY137" s="1"/>
  <c r="EZ136"/>
  <c r="EZ137" s="1"/>
  <c r="FA136"/>
  <c r="FA137" s="1"/>
  <c r="FB136"/>
  <c r="FB137" s="1"/>
  <c r="FC136"/>
  <c r="FC137" s="1"/>
  <c r="FD136"/>
  <c r="FD137" s="1"/>
  <c r="FE136"/>
  <c r="FE137" s="1"/>
  <c r="FF136"/>
  <c r="FF137" s="1"/>
  <c r="B136"/>
  <c r="B137" s="1"/>
  <c r="B135"/>
  <c r="B168" i="6"/>
  <c r="B169"/>
  <c r="B170"/>
  <c r="B138" i="1"/>
  <c r="B171" i="6"/>
</calcChain>
</file>

<file path=xl/sharedStrings.xml><?xml version="1.0" encoding="utf-8"?>
<sst xmlns="http://schemas.openxmlformats.org/spreadsheetml/2006/main" count="75" uniqueCount="18">
  <si>
    <t>Mean:</t>
  </si>
  <si>
    <t>mean</t>
  </si>
  <si>
    <t>max</t>
  </si>
  <si>
    <t>min</t>
  </si>
  <si>
    <t>mid</t>
  </si>
  <si>
    <t>15 ref 31 @ 400Hz, 9 ref 24 @ 400Hz</t>
  </si>
  <si>
    <t>&lt;280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</si>
  <si>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</si>
  <si>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</si>
  <si>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</si>
  <si>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</si>
  <si>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</si>
  <si>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</si>
  <si>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</si>
  <si>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</si>
  <si>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360+</t>
  </si>
  <si>
    <t>N</t>
  </si>
  <si>
    <t>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</si>
</sst>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</cellStyleXfs>
  <cellXfs count="7">
    <xf numFmtId="0" fontId="0" fillId="0" borderId="0" xfId="0"/>
    <xf numFmtId="0" fontId="0" fillId="0" borderId="0" xfId="0" applyFont="1"/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Font="1"/>
    <xf numFmtId="0" fontId="0" fillId="0" borderId="0" xfId="0"/>
  </cellXfs>
  <cellStyles count="4">
    <cellStyle name="Normal" xfId="0" builtinId="0"/>
    <cellStyle name="Note 2" xfId="1"/>
    <cellStyle name="Note 3" xfId="2"/>
    <cellStyle name="Note 4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'&lt;280'!$B$137:$FF$137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'&lt;280'!$B$1:$FF$1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'&lt;280'!$B$135:$FF$135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84182912"/>
        <c:axId val="84185088"/>
      </c:lineChart>
      <c:catAx>
        <c:axId val="84182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84185088"/>
        <c:crossesAt val="1"/>
        <c:auto val="1"/>
        <c:lblAlgn val="ctr"/>
        <c:lblOffset val="100"/>
        <c:tickLblSkip val="10"/>
        <c:tickMarkSkip val="10"/>
      </c:catAx>
      <c:valAx>
        <c:axId val="84185088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chemeClr val="tx1">
                <a:lumMod val="95000"/>
                <a:lumOff val="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84182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'280-290'!$B$137:$FF$137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'280-290'!$B$137:$FF$137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'280-290'!$B$135:$FF$135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84192640"/>
        <c:axId val="84203008"/>
      </c:lineChart>
      <c:catAx>
        <c:axId val="841926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84203008"/>
        <c:crossesAt val="1"/>
        <c:auto val="1"/>
        <c:lblAlgn val="ctr"/>
        <c:lblOffset val="100"/>
        <c:tickLblSkip val="10"/>
        <c:tickMarkSkip val="10"/>
      </c:catAx>
      <c:valAx>
        <c:axId val="84203008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841926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'290-300'!$B$137:$FF$137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'290-300'!$B$137:$FF$137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'290-300'!$B$135:$FF$135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79864704"/>
        <c:axId val="179866624"/>
      </c:lineChart>
      <c:catAx>
        <c:axId val="179864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866624"/>
        <c:crossesAt val="1"/>
        <c:auto val="1"/>
        <c:lblAlgn val="ctr"/>
        <c:lblOffset val="100"/>
        <c:tickLblSkip val="10"/>
        <c:tickMarkSkip val="10"/>
      </c:catAx>
      <c:valAx>
        <c:axId val="179866624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8647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'300-310'!$B$137:$FF$137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'300-310'!$B$137:$FF$137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'300-310'!$B$135:$FF$135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201525888"/>
        <c:axId val="201540352"/>
      </c:lineChart>
      <c:catAx>
        <c:axId val="201525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201540352"/>
        <c:crossesAt val="1"/>
        <c:auto val="1"/>
        <c:lblAlgn val="ctr"/>
        <c:lblOffset val="100"/>
        <c:tickLblSkip val="10"/>
        <c:tickMarkSkip val="10"/>
      </c:catAx>
      <c:valAx>
        <c:axId val="201540352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2015258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'310-320'!$B$137:$FF$137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'310-320'!$B$137:$FF$137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'310-320'!$B$135:$FF$135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207278464"/>
        <c:axId val="207280384"/>
      </c:lineChart>
      <c:catAx>
        <c:axId val="207278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207280384"/>
        <c:crossesAt val="1"/>
        <c:auto val="1"/>
        <c:lblAlgn val="ctr"/>
        <c:lblOffset val="100"/>
        <c:tickLblSkip val="10"/>
        <c:tickMarkSkip val="10"/>
      </c:catAx>
      <c:valAx>
        <c:axId val="207280384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2072784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'320-330'!$B$137:$FF$137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'320-330'!$B$137:$FF$137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'320-330'!$B$135:$FF$135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79753856"/>
        <c:axId val="580067328"/>
      </c:lineChart>
      <c:catAx>
        <c:axId val="5797538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0067328"/>
        <c:crossesAt val="1"/>
        <c:auto val="1"/>
        <c:lblAlgn val="ctr"/>
        <c:lblOffset val="100"/>
        <c:tickLblSkip val="10"/>
        <c:tickMarkSkip val="10"/>
      </c:catAx>
      <c:valAx>
        <c:axId val="580067328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797538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'330-340'!$B$137:$FF$137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'330-340'!$B$137:$FF$137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'330-340'!$B$135:$FF$135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0099456"/>
        <c:axId val="580118016"/>
      </c:lineChart>
      <c:catAx>
        <c:axId val="5800994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0118016"/>
        <c:crossesAt val="1"/>
        <c:auto val="1"/>
        <c:lblAlgn val="ctr"/>
        <c:lblOffset val="100"/>
        <c:tickLblSkip val="10"/>
        <c:tickMarkSkip val="10"/>
      </c:catAx>
      <c:valAx>
        <c:axId val="580118016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00994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'340-350'!$B$137:$FF$137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'340-350'!$B$137:$FF$137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'340-350'!$B$135:$FF$135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038080"/>
        <c:axId val="583040000"/>
      </c:lineChart>
      <c:catAx>
        <c:axId val="583038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040000"/>
        <c:crossesAt val="1"/>
        <c:auto val="1"/>
        <c:lblAlgn val="ctr"/>
        <c:lblOffset val="100"/>
        <c:tickLblSkip val="10"/>
        <c:tickMarkSkip val="10"/>
      </c:catAx>
      <c:valAx>
        <c:axId val="583040000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0380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'350-360'!$B$137:$FF$137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'350-360'!$B$137:$FF$137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'350-360'!$B$135:$FF$135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092864"/>
        <c:axId val="583119616"/>
      </c:lineChart>
      <c:catAx>
        <c:axId val="583092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119616"/>
        <c:crossesAt val="1"/>
        <c:auto val="1"/>
        <c:lblAlgn val="ctr"/>
        <c:lblOffset val="100"/>
        <c:tickLblSkip val="10"/>
        <c:tickMarkSkip val="10"/>
      </c:catAx>
      <c:valAx>
        <c:axId val="583119616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0928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'&gt;360'!$B$137:$FF$137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'&gt;360'!$B$137:$FF$137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'&gt;360'!$B$135:$FF$135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225728"/>
        <c:axId val="583227648"/>
      </c:lineChart>
      <c:catAx>
        <c:axId val="583225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227648"/>
        <c:crossesAt val="1"/>
        <c:auto val="1"/>
        <c:lblAlgn val="ctr"/>
        <c:lblOffset val="100"/>
        <c:tickLblSkip val="10"/>
        <c:tickMarkSkip val="10"/>
      </c:catAx>
      <c:valAx>
        <c:axId val="583227648"/>
        <c:scaling>
          <c:orientation val="minMax"/>
          <c:max val="1.2"/>
          <c:min val="0.8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225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'&lt;280'!$B$137:$FF$137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'&lt;280'!$B$1:$FF$1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'&lt;280'!$B$135:$FF$135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645440"/>
        <c:axId val="583659904"/>
      </c:lineChart>
      <c:catAx>
        <c:axId val="5836454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659904"/>
        <c:crosses val="autoZero"/>
        <c:auto val="1"/>
        <c:lblAlgn val="ctr"/>
        <c:lblOffset val="100"/>
        <c:tickLblSkip val="10"/>
        <c:tickMarkSkip val="10"/>
      </c:catAx>
      <c:valAx>
        <c:axId val="583659904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chemeClr val="tx1">
                <a:lumMod val="95000"/>
                <a:lumOff val="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64544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'280-290'!$B$137:$FF$137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'280-290'!$B$137:$FF$137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'280-290'!$B$135:$FF$135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696384"/>
        <c:axId val="583698304"/>
      </c:lineChart>
      <c:catAx>
        <c:axId val="5836963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698304"/>
        <c:crosses val="autoZero"/>
        <c:auto val="1"/>
        <c:lblAlgn val="ctr"/>
        <c:lblOffset val="100"/>
        <c:tickLblSkip val="10"/>
        <c:tickMarkSkip val="10"/>
      </c:catAx>
      <c:valAx>
        <c:axId val="583698304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696384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'290-300'!$B$137:$FF$137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'290-300'!$B$137:$FF$137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'290-300'!$B$135:$FF$135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726592"/>
        <c:axId val="583728512"/>
      </c:lineChart>
      <c:catAx>
        <c:axId val="5837265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728512"/>
        <c:crosses val="autoZero"/>
        <c:auto val="1"/>
        <c:lblAlgn val="ctr"/>
        <c:lblOffset val="100"/>
        <c:tickLblSkip val="10"/>
        <c:tickMarkSkip val="10"/>
      </c:catAx>
      <c:valAx>
        <c:axId val="58372851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72659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'300-310'!$B$137:$FF$137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'300-310'!$B$137:$FF$137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'300-310'!$B$135:$FF$135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756800"/>
        <c:axId val="583787648"/>
      </c:lineChart>
      <c:catAx>
        <c:axId val="583756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787648"/>
        <c:crosses val="autoZero"/>
        <c:auto val="1"/>
        <c:lblAlgn val="ctr"/>
        <c:lblOffset val="100"/>
        <c:tickLblSkip val="10"/>
        <c:tickMarkSkip val="10"/>
      </c:catAx>
      <c:valAx>
        <c:axId val="58378764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75680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'310-320'!$B$137:$FF$137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'310-320'!$B$137:$FF$137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'310-320'!$B$135:$FF$135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811840"/>
        <c:axId val="583813760"/>
      </c:lineChart>
      <c:catAx>
        <c:axId val="583811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813760"/>
        <c:crosses val="autoZero"/>
        <c:auto val="1"/>
        <c:lblAlgn val="ctr"/>
        <c:lblOffset val="100"/>
        <c:tickLblSkip val="10"/>
        <c:tickMarkSkip val="10"/>
      </c:catAx>
      <c:valAx>
        <c:axId val="583813760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81184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'320-330'!$B$137:$FF$137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'320-330'!$B$137:$FF$137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'320-330'!$B$135:$FF$135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842432"/>
        <c:axId val="583869184"/>
      </c:lineChart>
      <c:catAx>
        <c:axId val="583842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869184"/>
        <c:crosses val="autoZero"/>
        <c:auto val="1"/>
        <c:lblAlgn val="ctr"/>
        <c:lblOffset val="100"/>
        <c:tickLblSkip val="10"/>
        <c:tickMarkSkip val="10"/>
      </c:catAx>
      <c:valAx>
        <c:axId val="583869184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84243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'330-340'!$B$137:$FF$137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'330-340'!$B$137:$FF$137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'330-340'!$B$135:$FF$135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897472"/>
        <c:axId val="583899392"/>
      </c:lineChart>
      <c:catAx>
        <c:axId val="583897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899392"/>
        <c:crosses val="autoZero"/>
        <c:auto val="1"/>
        <c:lblAlgn val="ctr"/>
        <c:lblOffset val="100"/>
        <c:tickLblSkip val="10"/>
        <c:tickMarkSkip val="10"/>
      </c:catAx>
      <c:valAx>
        <c:axId val="58389939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89747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'340-350'!$B$137:$FF$137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'340-350'!$B$137:$FF$137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'340-350'!$B$135:$FF$135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939968"/>
        <c:axId val="583958528"/>
      </c:lineChart>
      <c:catAx>
        <c:axId val="583939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958528"/>
        <c:crosses val="autoZero"/>
        <c:auto val="1"/>
        <c:lblAlgn val="ctr"/>
        <c:lblOffset val="100"/>
        <c:tickLblSkip val="10"/>
        <c:tickMarkSkip val="10"/>
      </c:catAx>
      <c:valAx>
        <c:axId val="58395852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93996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'350-360'!$B$137:$FF$137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'350-360'!$B$137:$FF$137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'350-360'!$B$135:$FF$135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3966080"/>
        <c:axId val="584005120"/>
      </c:lineChart>
      <c:catAx>
        <c:axId val="583966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4005120"/>
        <c:crosses val="autoZero"/>
        <c:auto val="1"/>
        <c:lblAlgn val="ctr"/>
        <c:lblOffset val="100"/>
        <c:tickLblSkip val="10"/>
        <c:tickMarkSkip val="10"/>
      </c:catAx>
      <c:valAx>
        <c:axId val="584005120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396608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'&gt;360'!$B$137:$FF$137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'&gt;360'!$B$137:$FF$137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'&gt;360'!$B$135:$FF$135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584037504"/>
        <c:axId val="584039424"/>
      </c:lineChart>
      <c:catAx>
        <c:axId val="584037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4039424"/>
        <c:crosses val="autoZero"/>
        <c:auto val="1"/>
        <c:lblAlgn val="ctr"/>
        <c:lblOffset val="100"/>
        <c:tickLblSkip val="10"/>
        <c:tickMarkSkip val="10"/>
      </c:catAx>
      <c:valAx>
        <c:axId val="584039424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4037504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'&lt;280'!$B$137:$EB$137</c:f>
                <c:numCache>
                  <c:formatCode>General</c:formatCode>
                  <c:ptCount val="13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</c:numCache>
              </c:numRef>
            </c:plus>
            <c:minus>
              <c:numRef>
                <c:f>'&lt;280'!$B$137:$EB$137</c:f>
                <c:numCache>
                  <c:formatCode>General</c:formatCode>
                  <c:ptCount val="13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</c:numCache>
              </c:numRef>
            </c:minus>
            <c:spPr>
              <a:ln w="3175">
                <a:solidFill>
                  <a:srgbClr val="808080"/>
                </a:solidFill>
                <a:prstDash val="solid"/>
              </a:ln>
            </c:spPr>
          </c:errBars>
          <c:cat>
            <c:numRef>
              <c:f>'&lt;280'!$B$1:$EB$1</c:f>
              <c:numCache>
                <c:formatCode>General</c:formatCode>
                <c:ptCount val="13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</c:numCache>
            </c:numRef>
          </c:cat>
          <c:val>
            <c:numRef>
              <c:f>'&lt;280'!$B$135:$EB$135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</c:ser>
        <c:marker val="1"/>
        <c:axId val="584346624"/>
        <c:axId val="584361088"/>
      </c:lineChart>
      <c:catAx>
        <c:axId val="584346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4361088"/>
        <c:crosses val="autoZero"/>
        <c:auto val="1"/>
        <c:lblAlgn val="ctr"/>
        <c:lblOffset val="100"/>
        <c:tickLblSkip val="10"/>
        <c:tickMarkSkip val="10"/>
      </c:catAx>
      <c:valAx>
        <c:axId val="58436108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4346624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'280-290'!$B$138:$EB$138</c:f>
                <c:numCache>
                  <c:formatCode>General</c:formatCode>
                  <c:ptCount val="131"/>
                  <c:pt idx="0">
                    <c:v>0</c:v>
                  </c:pt>
                </c:numCache>
              </c:numRef>
            </c:plus>
            <c:minus>
              <c:numRef>
                <c:f>'280-290'!$B$138:$EB$138</c:f>
                <c:numCache>
                  <c:formatCode>General</c:formatCode>
                  <c:ptCount val="131"/>
                  <c:pt idx="0">
                    <c:v>0</c:v>
                  </c:pt>
                </c:numCache>
              </c:numRef>
            </c:minus>
            <c:spPr>
              <a:ln w="3175">
                <a:solidFill>
                  <a:srgbClr val="808080"/>
                </a:solidFill>
                <a:prstDash val="solid"/>
              </a:ln>
            </c:spPr>
          </c:errBars>
          <c:cat>
            <c:numRef>
              <c:f>'&lt;280'!$B$1:$EB$1</c:f>
              <c:numCache>
                <c:formatCode>General</c:formatCode>
                <c:ptCount val="13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</c:numCache>
            </c:numRef>
          </c:cat>
          <c:val>
            <c:numRef>
              <c:f>'280-290'!$B$136:$EB$136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</c:ser>
        <c:marker val="1"/>
        <c:axId val="584610944"/>
        <c:axId val="584612864"/>
      </c:lineChart>
      <c:catAx>
        <c:axId val="584610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4612864"/>
        <c:crosses val="autoZero"/>
        <c:auto val="1"/>
        <c:lblAlgn val="ctr"/>
        <c:lblOffset val="100"/>
        <c:tickLblSkip val="10"/>
        <c:tickMarkSkip val="10"/>
      </c:catAx>
      <c:valAx>
        <c:axId val="584612864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584610944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304800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0</xdr:row>
      <xdr:rowOff>28575</xdr:rowOff>
    </xdr:from>
    <xdr:to>
      <xdr:col>17</xdr:col>
      <xdr:colOff>342900</xdr:colOff>
      <xdr:row>14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16</xdr:row>
      <xdr:rowOff>9525</xdr:rowOff>
    </xdr:from>
    <xdr:to>
      <xdr:col>8</xdr:col>
      <xdr:colOff>323850</xdr:colOff>
      <xdr:row>30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17</xdr:col>
      <xdr:colOff>304800</xdr:colOff>
      <xdr:row>30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32</xdr:row>
      <xdr:rowOff>180975</xdr:rowOff>
    </xdr:from>
    <xdr:to>
      <xdr:col>8</xdr:col>
      <xdr:colOff>304800</xdr:colOff>
      <xdr:row>47</xdr:row>
      <xdr:rowOff>66675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171450</xdr:rowOff>
    </xdr:from>
    <xdr:to>
      <xdr:col>17</xdr:col>
      <xdr:colOff>285750</xdr:colOff>
      <xdr:row>47</xdr:row>
      <xdr:rowOff>57150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8</xdr:col>
      <xdr:colOff>304800</xdr:colOff>
      <xdr:row>63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49</xdr:row>
      <xdr:rowOff>0</xdr:rowOff>
    </xdr:from>
    <xdr:to>
      <xdr:col>17</xdr:col>
      <xdr:colOff>304800</xdr:colOff>
      <xdr:row>63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8</xdr:col>
      <xdr:colOff>304800</xdr:colOff>
      <xdr:row>79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65</xdr:row>
      <xdr:rowOff>0</xdr:rowOff>
    </xdr:from>
    <xdr:to>
      <xdr:col>17</xdr:col>
      <xdr:colOff>304800</xdr:colOff>
      <xdr:row>79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304800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0</xdr:row>
      <xdr:rowOff>28575</xdr:rowOff>
    </xdr:from>
    <xdr:to>
      <xdr:col>17</xdr:col>
      <xdr:colOff>342900</xdr:colOff>
      <xdr:row>14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16</xdr:row>
      <xdr:rowOff>9525</xdr:rowOff>
    </xdr:from>
    <xdr:to>
      <xdr:col>8</xdr:col>
      <xdr:colOff>323850</xdr:colOff>
      <xdr:row>30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17</xdr:col>
      <xdr:colOff>304800</xdr:colOff>
      <xdr:row>30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32</xdr:row>
      <xdr:rowOff>180975</xdr:rowOff>
    </xdr:from>
    <xdr:to>
      <xdr:col>8</xdr:col>
      <xdr:colOff>304800</xdr:colOff>
      <xdr:row>47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171450</xdr:rowOff>
    </xdr:from>
    <xdr:to>
      <xdr:col>17</xdr:col>
      <xdr:colOff>285750</xdr:colOff>
      <xdr:row>47</xdr:row>
      <xdr:rowOff>57150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8</xdr:col>
      <xdr:colOff>304800</xdr:colOff>
      <xdr:row>63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49</xdr:row>
      <xdr:rowOff>0</xdr:rowOff>
    </xdr:from>
    <xdr:to>
      <xdr:col>17</xdr:col>
      <xdr:colOff>304800</xdr:colOff>
      <xdr:row>63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8</xdr:col>
      <xdr:colOff>304800</xdr:colOff>
      <xdr:row>79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65</xdr:row>
      <xdr:rowOff>0</xdr:rowOff>
    </xdr:from>
    <xdr:to>
      <xdr:col>17</xdr:col>
      <xdr:colOff>304800</xdr:colOff>
      <xdr:row>79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139</xdr:row>
      <xdr:rowOff>47625</xdr:rowOff>
    </xdr:from>
    <xdr:to>
      <xdr:col>9</xdr:col>
      <xdr:colOff>428625</xdr:colOff>
      <xdr:row>153</xdr:row>
      <xdr:rowOff>123825</xdr:rowOff>
    </xdr:to>
    <xdr:graphicFrame macro="">
      <xdr:nvGraphicFramePr>
        <xdr:cNvPr id="20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145</xdr:row>
      <xdr:rowOff>133350</xdr:rowOff>
    </xdr:from>
    <xdr:to>
      <xdr:col>9</xdr:col>
      <xdr:colOff>457200</xdr:colOff>
      <xdr:row>160</xdr:row>
      <xdr:rowOff>19050</xdr:rowOff>
    </xdr:to>
    <xdr:graphicFrame macro="">
      <xdr:nvGraphicFramePr>
        <xdr:cNvPr id="10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J70"/>
  <sheetViews>
    <sheetView workbookViewId="0">
      <selection activeCell="S19" sqref="S19"/>
    </sheetView>
  </sheetViews>
  <sheetFormatPr defaultRowHeight="15"/>
  <cols>
    <col min="1" max="16384" width="9.140625" style="6"/>
  </cols>
  <sheetData>
    <row r="1" spans="1:10">
      <c r="A1" s="6" t="s">
        <v>6</v>
      </c>
      <c r="J1" s="6" t="s">
        <v>7</v>
      </c>
    </row>
    <row r="2" spans="1:10">
      <c r="A2" s="6" t="s">
        <v>16</v>
      </c>
      <c r="J2" s="6" t="s">
        <v>16</v>
      </c>
    </row>
    <row r="3" spans="1:10">
      <c r="A3" s="6">
        <f>COUNT('&lt;280'!A2:A133)</f>
        <v>0</v>
      </c>
      <c r="J3" s="6">
        <f>COUNT('280-290'!A2:A133)</f>
        <v>0</v>
      </c>
    </row>
    <row r="4" spans="1:10">
      <c r="A4" s="6" t="s">
        <v>17</v>
      </c>
      <c r="J4" s="6" t="s">
        <v>17</v>
      </c>
    </row>
    <row r="5" spans="1:10">
      <c r="A5" s="6" t="e">
        <f>AVERAGE('&lt;280'!$A$2:$A$133)</f>
        <v>#DIV/0!</v>
      </c>
      <c r="J5" s="6" t="e">
        <f>AVERAGE('280-290'!$A$2:$A$133)</f>
        <v>#DIV/0!</v>
      </c>
    </row>
    <row r="17" spans="1:10">
      <c r="A17" s="6" t="s">
        <v>8</v>
      </c>
      <c r="J17" s="6" t="s">
        <v>9</v>
      </c>
    </row>
    <row r="18" spans="1:10">
      <c r="A18" s="6" t="s">
        <v>16</v>
      </c>
      <c r="J18" s="6" t="s">
        <v>16</v>
      </c>
    </row>
    <row r="19" spans="1:10">
      <c r="A19" s="6">
        <f>COUNT('290-300'!A2:A133)</f>
        <v>0</v>
      </c>
      <c r="J19" s="6">
        <f>COUNT('300-310'!A2:A133)</f>
        <v>0</v>
      </c>
    </row>
    <row r="20" spans="1:10">
      <c r="A20" s="6" t="s">
        <v>17</v>
      </c>
      <c r="J20" s="6" t="s">
        <v>17</v>
      </c>
    </row>
    <row r="21" spans="1:10">
      <c r="A21" s="6" t="e">
        <f>AVERAGE('290-300'!$A$2:$A$133)</f>
        <v>#DIV/0!</v>
      </c>
      <c r="J21" s="6" t="e">
        <f>AVERAGE('300-310'!$A$2:$A$133)</f>
        <v>#DIV/0!</v>
      </c>
    </row>
    <row r="34" spans="1:10">
      <c r="A34" s="6" t="s">
        <v>10</v>
      </c>
      <c r="J34" s="6" t="s">
        <v>11</v>
      </c>
    </row>
    <row r="35" spans="1:10">
      <c r="A35" s="6" t="s">
        <v>16</v>
      </c>
      <c r="J35" s="6" t="s">
        <v>16</v>
      </c>
    </row>
    <row r="36" spans="1:10">
      <c r="A36" s="6">
        <f>COUNT('310-320'!A2:A133)</f>
        <v>0</v>
      </c>
      <c r="J36" s="6">
        <f>COUNT('320-330'!A2:A133)</f>
        <v>0</v>
      </c>
    </row>
    <row r="37" spans="1:10">
      <c r="A37" s="6" t="s">
        <v>17</v>
      </c>
      <c r="J37" s="6" t="s">
        <v>17</v>
      </c>
    </row>
    <row r="38" spans="1:10">
      <c r="A38" s="6" t="e">
        <f>AVERAGE('310-320'!$A$2:$A$133)</f>
        <v>#DIV/0!</v>
      </c>
      <c r="J38" s="6" t="e">
        <f>AVERAGE('320-330'!$A$2:$A$133)</f>
        <v>#DIV/0!</v>
      </c>
    </row>
    <row r="50" spans="1:10">
      <c r="A50" s="6" t="s">
        <v>12</v>
      </c>
      <c r="J50" s="6" t="s">
        <v>13</v>
      </c>
    </row>
    <row r="51" spans="1:10">
      <c r="A51" s="6" t="s">
        <v>16</v>
      </c>
      <c r="J51" s="6" t="s">
        <v>16</v>
      </c>
    </row>
    <row r="52" spans="1:10">
      <c r="A52" s="6">
        <f>COUNT('330-340'!A2:A133)</f>
        <v>0</v>
      </c>
      <c r="J52" s="6">
        <f>COUNT('340-350'!A2:A133)</f>
        <v>0</v>
      </c>
    </row>
    <row r="53" spans="1:10">
      <c r="A53" s="6" t="s">
        <v>17</v>
      </c>
      <c r="J53" s="6" t="s">
        <v>17</v>
      </c>
    </row>
    <row r="54" spans="1:10">
      <c r="A54" s="6" t="e">
        <f>AVERAGE('330-340'!$A$2:$A$133)</f>
        <v>#DIV/0!</v>
      </c>
      <c r="J54" s="6" t="e">
        <f>AVERAGE('340-350'!$A$2:$A$133)</f>
        <v>#DIV/0!</v>
      </c>
    </row>
    <row r="66" spans="1:10">
      <c r="A66" s="6" t="s">
        <v>14</v>
      </c>
      <c r="J66" s="6" t="s">
        <v>15</v>
      </c>
    </row>
    <row r="67" spans="1:10">
      <c r="A67" s="6" t="s">
        <v>16</v>
      </c>
      <c r="J67" s="6" t="s">
        <v>16</v>
      </c>
    </row>
    <row r="68" spans="1:10">
      <c r="A68" s="6">
        <f>COUNT('350-360'!A2:A133)</f>
        <v>0</v>
      </c>
      <c r="J68" s="6">
        <f>COUNT('&gt;360'!A2:A133)</f>
        <v>0</v>
      </c>
    </row>
    <row r="69" spans="1:10">
      <c r="A69" s="6" t="s">
        <v>17</v>
      </c>
      <c r="J69" s="6" t="s">
        <v>17</v>
      </c>
    </row>
    <row r="70" spans="1:10">
      <c r="A70" s="6" t="e">
        <f>AVERAGE('350-360'!$A$2:$A$133)</f>
        <v>#DIV/0!</v>
      </c>
      <c r="J70" s="6" t="e">
        <f>AVERAGE('&gt;360'!$A$2:$A$133)</f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J70"/>
  <sheetViews>
    <sheetView tabSelected="1" topLeftCell="A33" workbookViewId="0">
      <selection activeCell="J39" sqref="J39"/>
    </sheetView>
  </sheetViews>
  <sheetFormatPr defaultRowHeight="15"/>
  <sheetData>
    <row r="1" spans="1:10">
      <c r="A1" s="6" t="s">
        <v>6</v>
      </c>
      <c r="J1" s="6" t="s">
        <v>7</v>
      </c>
    </row>
    <row r="2" spans="1:10">
      <c r="A2" s="6" t="s">
        <v>16</v>
      </c>
      <c r="J2" s="6" t="s">
        <v>16</v>
      </c>
    </row>
    <row r="3" spans="1:10">
      <c r="A3" s="6">
        <f>COUNT('&lt;280'!A2:A133)</f>
        <v>0</v>
      </c>
      <c r="J3" s="6">
        <f>COUNT('280-290'!A2:A133)</f>
        <v>0</v>
      </c>
    </row>
    <row r="4" spans="1:10">
      <c r="A4" s="6" t="s">
        <v>17</v>
      </c>
      <c r="J4" s="6" t="s">
        <v>17</v>
      </c>
    </row>
    <row r="5" spans="1:10">
      <c r="A5" t="e">
        <f>AVERAGE('&lt;280'!$A$2:$A$133)</f>
        <v>#DIV/0!</v>
      </c>
      <c r="J5" s="6" t="e">
        <f>AVERAGE('280-290'!$A$2:$A$133)</f>
        <v>#DIV/0!</v>
      </c>
    </row>
    <row r="17" spans="1:10">
      <c r="A17" s="6" t="s">
        <v>8</v>
      </c>
      <c r="J17" s="6" t="s">
        <v>9</v>
      </c>
    </row>
    <row r="18" spans="1:10">
      <c r="A18" s="6" t="s">
        <v>16</v>
      </c>
      <c r="J18" s="6" t="s">
        <v>16</v>
      </c>
    </row>
    <row r="19" spans="1:10">
      <c r="A19" s="6">
        <f>COUNT('290-300'!A2:A133)</f>
        <v>0</v>
      </c>
      <c r="J19" s="6">
        <f>COUNT('300-310'!A2:A133)</f>
        <v>0</v>
      </c>
    </row>
    <row r="20" spans="1:10">
      <c r="A20" s="6" t="s">
        <v>17</v>
      </c>
      <c r="J20" s="6" t="s">
        <v>17</v>
      </c>
    </row>
    <row r="21" spans="1:10">
      <c r="A21" s="6" t="e">
        <f>AVERAGE('290-300'!$A$2:$A$133)</f>
        <v>#DIV/0!</v>
      </c>
      <c r="J21" s="6" t="e">
        <f>AVERAGE('300-310'!$A$2:$A$133)</f>
        <v>#DIV/0!</v>
      </c>
    </row>
    <row r="33" spans="1:10">
      <c r="A33" s="6"/>
    </row>
    <row r="34" spans="1:10">
      <c r="A34" s="6" t="s">
        <v>10</v>
      </c>
      <c r="J34" s="6" t="s">
        <v>11</v>
      </c>
    </row>
    <row r="35" spans="1:10">
      <c r="A35" s="6" t="s">
        <v>16</v>
      </c>
      <c r="J35" s="6" t="s">
        <v>16</v>
      </c>
    </row>
    <row r="36" spans="1:10">
      <c r="A36" s="6">
        <f>COUNT('310-320'!A2:A133)</f>
        <v>0</v>
      </c>
      <c r="J36" s="6">
        <f>COUNT('320-330'!A2:A133)</f>
        <v>0</v>
      </c>
    </row>
    <row r="37" spans="1:10">
      <c r="A37" s="6" t="s">
        <v>17</v>
      </c>
      <c r="J37" s="6" t="s">
        <v>17</v>
      </c>
    </row>
    <row r="38" spans="1:10">
      <c r="A38" s="6" t="e">
        <f>AVERAGE('310-320'!$A$2:$A$133)</f>
        <v>#DIV/0!</v>
      </c>
      <c r="J38" s="6" t="e">
        <f>AVERAGE('320-330'!$A$2:$A$133)</f>
        <v>#DIV/0!</v>
      </c>
    </row>
    <row r="50" spans="1:10">
      <c r="A50" s="6" t="s">
        <v>12</v>
      </c>
      <c r="J50" s="6" t="s">
        <v>13</v>
      </c>
    </row>
    <row r="51" spans="1:10">
      <c r="A51" s="6" t="s">
        <v>16</v>
      </c>
      <c r="J51" s="6" t="s">
        <v>16</v>
      </c>
    </row>
    <row r="52" spans="1:10">
      <c r="A52" s="6">
        <f>COUNT('330-340'!A2:A133)</f>
        <v>0</v>
      </c>
      <c r="J52" s="6">
        <f>COUNT('340-350'!A2:A133)</f>
        <v>0</v>
      </c>
    </row>
    <row r="53" spans="1:10">
      <c r="A53" s="6" t="s">
        <v>17</v>
      </c>
      <c r="J53" s="6" t="s">
        <v>17</v>
      </c>
    </row>
    <row r="54" spans="1:10">
      <c r="A54" s="6" t="e">
        <f>AVERAGE('330-340'!$A$2:$A$133)</f>
        <v>#DIV/0!</v>
      </c>
      <c r="J54" s="6" t="e">
        <f>AVERAGE('340-350'!$A$2:$A$133)</f>
        <v>#DIV/0!</v>
      </c>
    </row>
    <row r="66" spans="1:10">
      <c r="A66" s="6" t="s">
        <v>14</v>
      </c>
      <c r="J66" s="6" t="s">
        <v>15</v>
      </c>
    </row>
    <row r="67" spans="1:10">
      <c r="A67" s="6" t="s">
        <v>16</v>
      </c>
      <c r="J67" s="6" t="s">
        <v>16</v>
      </c>
    </row>
    <row r="68" spans="1:10">
      <c r="A68" s="6">
        <f>COUNT('350-360'!A2:A133)</f>
        <v>0</v>
      </c>
      <c r="J68" s="6">
        <f>COUNT('&gt;360'!A2:A133)</f>
        <v>0</v>
      </c>
    </row>
    <row r="69" spans="1:10">
      <c r="A69" s="6" t="s">
        <v>17</v>
      </c>
      <c r="J69" s="6" t="s">
        <v>17</v>
      </c>
    </row>
    <row r="70" spans="1:10">
      <c r="A70" s="6" t="e">
        <f>AVERAGE('350-360'!$A$2:$A$133)</f>
        <v>#DIV/0!</v>
      </c>
      <c r="J70" s="6" t="e">
        <f>AVERAGE('&gt;360'!$A$2:$A$133)</f>
        <v>#DIV/0!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FF172"/>
  <sheetViews>
    <sheetView workbookViewId="0"/>
  </sheetViews>
  <sheetFormatPr defaultRowHeight="15"/>
  <sheetData>
    <row r="1" spans="1:162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</row>
    <row r="2" spans="1:162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</row>
    <row r="3" spans="1:162">
      <c r="A3" s="4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</row>
    <row r="4" spans="1:162">
      <c r="A4" s="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</row>
    <row r="5" spans="1:162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</row>
    <row r="6" spans="1:162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</row>
    <row r="7" spans="1:162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</row>
    <row r="8" spans="1:162">
      <c r="A8" s="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</row>
    <row r="9" spans="1:162">
      <c r="A9" s="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</row>
    <row r="10" spans="1:162">
      <c r="A10" s="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</row>
    <row r="11" spans="1:162">
      <c r="A11" s="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</row>
    <row r="12" spans="1:162">
      <c r="A12" s="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</row>
    <row r="13" spans="1:162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</row>
    <row r="14" spans="1:162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</row>
    <row r="15" spans="1:162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</row>
    <row r="16" spans="1:162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</row>
    <row r="17" spans="1:162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</row>
    <row r="18" spans="1:162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</row>
    <row r="19" spans="1:162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</row>
    <row r="20" spans="1:162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</row>
    <row r="21" spans="1:162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</row>
    <row r="22" spans="1:162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</row>
    <row r="23" spans="1:162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</row>
    <row r="24" spans="1:162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</row>
    <row r="25" spans="1:162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</row>
    <row r="26" spans="1:162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</row>
    <row r="27" spans="1:162">
      <c r="A27" s="4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</row>
    <row r="28" spans="1:162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</row>
    <row r="29" spans="1:162">
      <c r="A29" s="4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</row>
    <row r="30" spans="1:162">
      <c r="A30" s="4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</row>
    <row r="31" spans="1:162">
      <c r="A31" s="4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</row>
    <row r="32" spans="1:162">
      <c r="A32" s="4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</row>
    <row r="33" spans="1:162">
      <c r="A33" s="4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</row>
    <row r="34" spans="1:162">
      <c r="A34" s="4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</row>
    <row r="35" spans="1:162">
      <c r="A35" s="4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</row>
    <row r="36" spans="1:162">
      <c r="A36" s="4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</row>
    <row r="37" spans="1:162">
      <c r="A37" s="4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</row>
    <row r="38" spans="1:162">
      <c r="A38" s="4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</row>
    <row r="39" spans="1:162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</row>
    <row r="40" spans="1:162">
      <c r="A40" s="4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</row>
    <row r="41" spans="1:162">
      <c r="A41" s="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</row>
    <row r="42" spans="1:162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</row>
    <row r="43" spans="1:162">
      <c r="A43" s="4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</row>
    <row r="44" spans="1:162">
      <c r="A44" s="4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</row>
    <row r="45" spans="1:162">
      <c r="A45" s="4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</row>
    <row r="46" spans="1:162">
      <c r="A46" s="4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</row>
    <row r="47" spans="1:162">
      <c r="A47" s="4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</row>
    <row r="48" spans="1:162">
      <c r="A48" s="4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3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3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3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3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3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0" spans="1:13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</row>
    <row r="71" spans="1:13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</row>
    <row r="72" spans="1:13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</row>
    <row r="73" spans="1:13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</row>
    <row r="74" spans="1:13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</row>
    <row r="75" spans="1:13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</row>
    <row r="76" spans="1:13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</row>
    <row r="77" spans="1:13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</row>
    <row r="78" spans="1:13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</row>
    <row r="79" spans="1:13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</row>
    <row r="80" spans="1:13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</row>
    <row r="81" spans="1:13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</row>
    <row r="82" spans="1:13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</row>
    <row r="168" spans="1:2">
      <c r="A168" t="s">
        <v>1</v>
      </c>
      <c r="B168" t="e">
        <f>AVERAGE(A1:A166)</f>
        <v>#DIV/0!</v>
      </c>
    </row>
    <row r="169" spans="1:2">
      <c r="A169" t="s">
        <v>2</v>
      </c>
      <c r="B169">
        <f>MAX(A1:A166)</f>
        <v>0</v>
      </c>
    </row>
    <row r="170" spans="1:2">
      <c r="A170" t="s">
        <v>3</v>
      </c>
      <c r="B170">
        <f>MIN(A1:A166)</f>
        <v>0</v>
      </c>
    </row>
    <row r="171" spans="1:2">
      <c r="A171" t="s">
        <v>4</v>
      </c>
      <c r="B171">
        <f>(B169+B170)/2</f>
        <v>0</v>
      </c>
    </row>
    <row r="172" spans="1:2">
      <c r="A172" s="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FF138"/>
  <sheetViews>
    <sheetView topLeftCell="A48" workbookViewId="0">
      <selection activeCell="A67" sqref="A4:XFD67"/>
    </sheetView>
  </sheetViews>
  <sheetFormatPr defaultRowHeight="15"/>
  <sheetData>
    <row r="1" spans="1:162">
      <c r="B1" s="5">
        <v>-8</v>
      </c>
      <c r="C1" s="5">
        <v>-7.9</v>
      </c>
      <c r="D1" s="5">
        <v>-7.8</v>
      </c>
      <c r="E1" s="5">
        <v>-7.7</v>
      </c>
      <c r="F1" s="5">
        <v>-7.6</v>
      </c>
      <c r="G1" s="5">
        <v>-7.5</v>
      </c>
      <c r="H1" s="5">
        <v>-7.4</v>
      </c>
      <c r="I1" s="5">
        <v>-7.3</v>
      </c>
      <c r="J1" s="5">
        <v>-7.2</v>
      </c>
      <c r="K1" s="5">
        <v>-7.1</v>
      </c>
      <c r="L1" s="5">
        <v>-7</v>
      </c>
      <c r="M1" s="5">
        <v>-6.9</v>
      </c>
      <c r="N1" s="5">
        <v>-6.8</v>
      </c>
      <c r="O1" s="5">
        <v>-6.7</v>
      </c>
      <c r="P1" s="5">
        <v>-6.6</v>
      </c>
      <c r="Q1" s="5">
        <v>-6.5</v>
      </c>
      <c r="R1" s="5">
        <v>-6.4</v>
      </c>
      <c r="S1" s="5">
        <v>-6.3</v>
      </c>
      <c r="T1" s="5">
        <v>-6.2</v>
      </c>
      <c r="U1" s="5">
        <v>-6.1</v>
      </c>
      <c r="V1" s="5">
        <v>-6</v>
      </c>
      <c r="W1" s="5">
        <v>-5.9</v>
      </c>
      <c r="X1" s="5">
        <v>-5.8</v>
      </c>
      <c r="Y1" s="5">
        <v>-5.7</v>
      </c>
      <c r="Z1" s="5">
        <v>-5.6</v>
      </c>
      <c r="AA1" s="5">
        <v>-5.5</v>
      </c>
      <c r="AB1" s="5">
        <v>-5.4</v>
      </c>
      <c r="AC1" s="5">
        <v>-5.3</v>
      </c>
      <c r="AD1" s="5">
        <v>-5.2</v>
      </c>
      <c r="AE1" s="5">
        <v>-5.0999999999999996</v>
      </c>
      <c r="AF1" s="5">
        <v>-5</v>
      </c>
      <c r="AG1" s="5">
        <v>-4.9000000000000004</v>
      </c>
      <c r="AH1" s="5">
        <v>-4.8</v>
      </c>
      <c r="AI1" s="5">
        <v>-4.7</v>
      </c>
      <c r="AJ1" s="5">
        <v>-4.5999999999999996</v>
      </c>
      <c r="AK1" s="5">
        <v>-4.5</v>
      </c>
      <c r="AL1" s="5">
        <v>-4.4000000000000004</v>
      </c>
      <c r="AM1" s="5">
        <v>-4.3</v>
      </c>
      <c r="AN1" s="5">
        <v>-4.2</v>
      </c>
      <c r="AO1" s="5">
        <v>-4.0999999999999996</v>
      </c>
      <c r="AP1" s="5">
        <v>-4</v>
      </c>
      <c r="AQ1" s="5">
        <v>-3.9</v>
      </c>
      <c r="AR1" s="5">
        <v>-3.8</v>
      </c>
      <c r="AS1" s="5">
        <v>-3.7</v>
      </c>
      <c r="AT1" s="5">
        <v>-3.6</v>
      </c>
      <c r="AU1" s="5">
        <v>-3.5</v>
      </c>
      <c r="AV1" s="5">
        <v>-3.4</v>
      </c>
      <c r="AW1" s="5">
        <v>-3.3</v>
      </c>
      <c r="AX1" s="5">
        <v>-3.2</v>
      </c>
      <c r="AY1" s="5">
        <v>-3.1</v>
      </c>
      <c r="AZ1" s="5">
        <v>-3</v>
      </c>
      <c r="BA1" s="5">
        <v>-2.9</v>
      </c>
      <c r="BB1" s="5">
        <v>-2.8</v>
      </c>
      <c r="BC1" s="5">
        <v>-2.7</v>
      </c>
      <c r="BD1" s="5">
        <v>-2.6</v>
      </c>
      <c r="BE1" s="5">
        <v>-2.5</v>
      </c>
      <c r="BF1" s="5">
        <v>-2.4</v>
      </c>
      <c r="BG1" s="5">
        <v>-2.2999999999999998</v>
      </c>
      <c r="BH1" s="5">
        <v>-2.2000000000000002</v>
      </c>
      <c r="BI1" s="5">
        <v>-2.1</v>
      </c>
      <c r="BJ1" s="5">
        <v>-2</v>
      </c>
      <c r="BK1" s="5">
        <v>-1.9</v>
      </c>
      <c r="BL1" s="5">
        <v>-1.8</v>
      </c>
      <c r="BM1" s="5">
        <v>-1.7</v>
      </c>
      <c r="BN1" s="5">
        <v>-1.6</v>
      </c>
      <c r="BO1" s="5">
        <v>-1.5</v>
      </c>
      <c r="BP1" s="5">
        <v>-1.4</v>
      </c>
      <c r="BQ1" s="5">
        <v>-1.3</v>
      </c>
      <c r="BR1" s="5">
        <v>-1.2</v>
      </c>
      <c r="BS1" s="5">
        <v>-1.1000000000000001</v>
      </c>
      <c r="BT1" s="5">
        <v>-1</v>
      </c>
      <c r="BU1" s="5">
        <v>-0.9</v>
      </c>
      <c r="BV1" s="5">
        <v>-0.8</v>
      </c>
      <c r="BW1" s="5">
        <v>-0.7</v>
      </c>
      <c r="BX1" s="5">
        <v>-0.6</v>
      </c>
      <c r="BY1" s="5">
        <v>-0.5</v>
      </c>
      <c r="BZ1" s="5">
        <v>-0.4</v>
      </c>
      <c r="CA1" s="5">
        <v>-0.3</v>
      </c>
      <c r="CB1" s="5">
        <v>-0.2</v>
      </c>
      <c r="CC1" s="5">
        <v>-0.1</v>
      </c>
      <c r="CD1" s="5">
        <v>0</v>
      </c>
      <c r="CE1" s="5">
        <v>0.1</v>
      </c>
      <c r="CF1" s="5">
        <v>0.2</v>
      </c>
      <c r="CG1" s="5">
        <v>0.3</v>
      </c>
      <c r="CH1" s="5">
        <v>0.4</v>
      </c>
      <c r="CI1" s="5">
        <v>0.5</v>
      </c>
      <c r="CJ1" s="5">
        <v>0.6</v>
      </c>
      <c r="CK1" s="5">
        <v>0.7</v>
      </c>
      <c r="CL1" s="5">
        <v>0.8</v>
      </c>
      <c r="CM1" s="5">
        <v>0.9</v>
      </c>
      <c r="CN1" s="5">
        <v>1</v>
      </c>
      <c r="CO1" s="5">
        <v>1.1000000000000001</v>
      </c>
      <c r="CP1" s="5">
        <v>1.2</v>
      </c>
      <c r="CQ1" s="5">
        <v>1.3</v>
      </c>
      <c r="CR1" s="5">
        <v>1.4</v>
      </c>
      <c r="CS1" s="5">
        <v>1.5</v>
      </c>
      <c r="CT1" s="5">
        <v>1.6</v>
      </c>
      <c r="CU1" s="5">
        <v>1.7</v>
      </c>
      <c r="CV1" s="5">
        <v>1.8</v>
      </c>
      <c r="CW1" s="5">
        <v>1.9</v>
      </c>
      <c r="CX1" s="5">
        <v>2</v>
      </c>
      <c r="CY1" s="5">
        <v>2.1</v>
      </c>
      <c r="CZ1" s="5">
        <v>2.2000000000000002</v>
      </c>
      <c r="DA1" s="5">
        <v>2.2999999999999998</v>
      </c>
      <c r="DB1" s="5">
        <v>2.4</v>
      </c>
      <c r="DC1" s="5">
        <v>2.5</v>
      </c>
      <c r="DD1" s="5">
        <v>2.6</v>
      </c>
      <c r="DE1" s="5">
        <v>2.7</v>
      </c>
      <c r="DF1" s="5">
        <v>2.8</v>
      </c>
      <c r="DG1" s="5">
        <v>2.9</v>
      </c>
      <c r="DH1" s="5">
        <v>3</v>
      </c>
      <c r="DI1" s="5">
        <v>3.1</v>
      </c>
      <c r="DJ1" s="5">
        <v>3.2</v>
      </c>
      <c r="DK1" s="5">
        <v>3.3</v>
      </c>
      <c r="DL1" s="5">
        <v>3.4</v>
      </c>
      <c r="DM1" s="5">
        <v>3.5</v>
      </c>
      <c r="DN1" s="5">
        <v>3.6</v>
      </c>
      <c r="DO1" s="5">
        <v>3.7</v>
      </c>
      <c r="DP1" s="5">
        <v>3.8</v>
      </c>
      <c r="DQ1" s="5">
        <v>3.9</v>
      </c>
      <c r="DR1" s="5">
        <v>4</v>
      </c>
      <c r="DS1" s="5">
        <v>4.0999999999999996</v>
      </c>
      <c r="DT1" s="5">
        <v>4.2</v>
      </c>
      <c r="DU1" s="5">
        <v>4.3</v>
      </c>
      <c r="DV1" s="5">
        <v>4.4000000000000004</v>
      </c>
      <c r="DW1" s="5">
        <v>4.5</v>
      </c>
      <c r="DX1" s="5">
        <v>4.5999999999999996</v>
      </c>
      <c r="DY1" s="5">
        <v>4.7</v>
      </c>
      <c r="DZ1" s="5">
        <v>4.8</v>
      </c>
      <c r="EA1" s="5">
        <v>4.9000000000000004</v>
      </c>
      <c r="EB1" s="5">
        <v>5</v>
      </c>
      <c r="EC1" s="5">
        <v>5.0999999999999996</v>
      </c>
      <c r="ED1" s="5">
        <v>5.2</v>
      </c>
      <c r="EE1" s="5">
        <v>5.3</v>
      </c>
      <c r="EF1" s="5">
        <v>5.4</v>
      </c>
      <c r="EG1" s="5">
        <v>5.5</v>
      </c>
      <c r="EH1" s="5">
        <v>5.6</v>
      </c>
      <c r="EI1" s="5">
        <v>5.7</v>
      </c>
      <c r="EJ1" s="5">
        <v>5.8</v>
      </c>
      <c r="EK1" s="5">
        <v>5.9</v>
      </c>
      <c r="EL1" s="5">
        <v>6</v>
      </c>
      <c r="EM1" s="5">
        <v>6.1</v>
      </c>
      <c r="EN1" s="5">
        <v>6.2</v>
      </c>
      <c r="EO1" s="5">
        <v>6.3</v>
      </c>
      <c r="EP1" s="5">
        <v>6.4</v>
      </c>
      <c r="EQ1" s="5">
        <v>6.5</v>
      </c>
      <c r="ER1" s="5">
        <v>6.6</v>
      </c>
      <c r="ES1" s="5">
        <v>6.7</v>
      </c>
      <c r="ET1" s="5">
        <v>6.8</v>
      </c>
      <c r="EU1" s="5">
        <v>6.9</v>
      </c>
      <c r="EV1" s="5">
        <v>7</v>
      </c>
      <c r="EW1" s="5">
        <v>7.1</v>
      </c>
      <c r="EX1" s="5">
        <v>7.2</v>
      </c>
      <c r="EY1" s="5">
        <v>7.3</v>
      </c>
      <c r="EZ1" s="5">
        <v>7.4</v>
      </c>
      <c r="FA1" s="5">
        <v>7.5</v>
      </c>
      <c r="FB1" s="5">
        <v>7.6</v>
      </c>
      <c r="FC1" s="5">
        <v>7.7</v>
      </c>
      <c r="FD1" s="5">
        <v>7.8</v>
      </c>
      <c r="FE1" s="5">
        <v>7.9</v>
      </c>
      <c r="FF1" s="5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 s="6" customForma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 s="6" customForma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 s="6" customForma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 s="6" customForma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 s="6" customForma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 s="6" customForma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</row>
    <row r="10" spans="1:162" s="6" customForma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</row>
    <row r="11" spans="1:162" s="6" customForma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</row>
    <row r="12" spans="1:162" s="6" customForma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</row>
    <row r="13" spans="1:162" s="6" customForma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</row>
    <row r="14" spans="1:162" s="6" customForma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</row>
    <row r="15" spans="1:162" s="6" customForma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</row>
    <row r="16" spans="1:162" s="6" customForma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</row>
    <row r="17" spans="1:132" s="6" customForma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</row>
    <row r="18" spans="1:132" s="6" customForma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</row>
    <row r="19" spans="1:132" s="6" customForma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</row>
    <row r="20" spans="1:132" s="6" customForma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</row>
    <row r="21" spans="1:132" s="6" customForma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</row>
    <row r="22" spans="1:132" s="6" customForma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</row>
    <row r="23" spans="1:132" s="6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</row>
    <row r="24" spans="1:132" s="6" customForma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</row>
    <row r="25" spans="1:132" s="6" customForma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</row>
    <row r="26" spans="1:132" s="6" customForma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</row>
    <row r="27" spans="1:132" s="6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</row>
    <row r="28" spans="1:132" s="6" customForma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</row>
    <row r="29" spans="1:132" s="6" customForma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</row>
    <row r="30" spans="1:132" s="6" customForma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</row>
    <row r="31" spans="1:132" s="6" customForma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</row>
    <row r="32" spans="1:132" s="6" customForma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</row>
    <row r="33" spans="1:132" s="6" customForma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</row>
    <row r="34" spans="1:132" s="6" customForma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</row>
    <row r="35" spans="1:132" s="6" customForma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</row>
    <row r="36" spans="1:132" s="6" customForma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</row>
    <row r="37" spans="1:132" s="6" customForma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</row>
    <row r="38" spans="1:132" s="6" customForma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</row>
    <row r="39" spans="1:132" s="6" customForma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</row>
    <row r="40" spans="1:132" s="6" customForma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</row>
    <row r="41" spans="1:132" s="6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</row>
    <row r="42" spans="1:132" s="6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</row>
    <row r="43" spans="1:132" s="6" customForma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</row>
    <row r="44" spans="1:13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</row>
    <row r="45" spans="1:13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</row>
    <row r="46" spans="1:13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</row>
    <row r="47" spans="1:13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</row>
    <row r="48" spans="1:13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6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6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6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6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</row>
    <row r="69" spans="1:16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</row>
    <row r="70" spans="1:162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</row>
    <row r="71" spans="1:162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</row>
    <row r="72" spans="1:16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</row>
    <row r="73" spans="1:16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</row>
    <row r="74" spans="1:16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</row>
    <row r="75" spans="1:16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</row>
    <row r="76" spans="1:16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</row>
    <row r="77" spans="1:16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</row>
    <row r="78" spans="1:16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</row>
    <row r="79" spans="1:16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</row>
    <row r="80" spans="1:16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</row>
    <row r="81" spans="1:13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</row>
    <row r="82" spans="1:13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</row>
    <row r="83" spans="1:13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</row>
    <row r="84" spans="1:13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</row>
    <row r="85" spans="1:13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</row>
    <row r="86" spans="1:13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</row>
    <row r="87" spans="1:13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</row>
    <row r="88" spans="1:13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</row>
    <row r="89" spans="1:13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</row>
    <row r="90" spans="1:13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</row>
    <row r="91" spans="1:13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</row>
    <row r="92" spans="1:13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</row>
    <row r="93" spans="1:13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</row>
    <row r="94" spans="1:13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</row>
    <row r="95" spans="1:13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</row>
    <row r="96" spans="1:13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</row>
    <row r="97" spans="1:13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</row>
    <row r="98" spans="1:13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</row>
    <row r="99" spans="1:13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</row>
    <row r="100" spans="1:13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</row>
    <row r="101" spans="1:13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</row>
    <row r="102" spans="1:13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</row>
    <row r="103" spans="1:13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</row>
    <row r="104" spans="1:13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</row>
    <row r="105" spans="1:13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</row>
    <row r="106" spans="1:13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</row>
    <row r="107" spans="1:13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</row>
    <row r="108" spans="1:13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</row>
    <row r="109" spans="1:13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</row>
    <row r="110" spans="1:13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</row>
    <row r="111" spans="1:13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</row>
    <row r="112" spans="1:13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</row>
    <row r="113" spans="1:13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</row>
    <row r="114" spans="1:13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</row>
    <row r="115" spans="1:13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</row>
    <row r="116" spans="1:13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</row>
    <row r="117" spans="1:13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</row>
    <row r="118" spans="1:13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</row>
    <row r="119" spans="1:13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</row>
    <row r="120" spans="1:13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</row>
    <row r="121" spans="1:13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</row>
    <row r="122" spans="1:13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</row>
    <row r="123" spans="1:13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</row>
    <row r="124" spans="1:13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</row>
    <row r="125" spans="1:13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</row>
    <row r="126" spans="1:13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</row>
    <row r="127" spans="1:13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</row>
    <row r="128" spans="1:13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</row>
    <row r="129" spans="1:16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</row>
    <row r="130" spans="1:16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</row>
    <row r="131" spans="1:16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</row>
    <row r="132" spans="1:16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</row>
    <row r="133" spans="1:16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</row>
    <row r="135" spans="1:162"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t="s">
        <v>0</v>
      </c>
      <c r="B138" t="e">
        <f>AVERAGE(A2:A133)</f>
        <v>#DIV/0!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FF138"/>
  <sheetViews>
    <sheetView topLeftCell="A36" workbookViewId="0">
      <selection activeCell="A41" sqref="A41:XFD104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6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6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6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6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6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6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6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6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62" s="6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</row>
    <row r="42" spans="1:162" s="6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</row>
    <row r="43" spans="1:162" s="6" customForma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05" spans="1:13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</row>
    <row r="106" spans="1:13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</row>
    <row r="107" spans="1:13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</row>
    <row r="108" spans="1:13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</row>
    <row r="109" spans="1:13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</row>
    <row r="110" spans="1:13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</row>
    <row r="111" spans="1:13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</row>
    <row r="112" spans="1:13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</row>
    <row r="113" spans="1:13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</row>
    <row r="114" spans="1:13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</row>
    <row r="115" spans="1:13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</row>
    <row r="116" spans="1:13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</row>
    <row r="117" spans="1:13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</row>
    <row r="118" spans="1:13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</row>
    <row r="119" spans="1:13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</row>
    <row r="120" spans="1:13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</row>
    <row r="121" spans="1:13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</row>
    <row r="122" spans="1:13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</row>
    <row r="123" spans="1:13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</row>
    <row r="124" spans="1:13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</row>
    <row r="125" spans="1:13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</row>
    <row r="126" spans="1:13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</row>
    <row r="127" spans="1:13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</row>
    <row r="128" spans="1:13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</row>
    <row r="129" spans="1:16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</row>
    <row r="130" spans="1:16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</row>
    <row r="131" spans="1:16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</row>
    <row r="132" spans="1:16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</row>
    <row r="133" spans="1:16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</row>
    <row r="134" spans="1:16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FF138"/>
  <sheetViews>
    <sheetView topLeftCell="A26" workbookViewId="0">
      <selection activeCell="A41" sqref="A41:XFD104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6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6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6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6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6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6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6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6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62" s="6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</row>
    <row r="42" spans="1:162" s="6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</row>
    <row r="43" spans="1:162" s="6" customForma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05" spans="1:13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</row>
    <row r="106" spans="1:13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</row>
    <row r="107" spans="1:13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</row>
    <row r="108" spans="1:13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</row>
    <row r="109" spans="1:13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</row>
    <row r="110" spans="1:13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</row>
    <row r="111" spans="1:13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</row>
    <row r="112" spans="1:13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</row>
    <row r="113" spans="1:13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</row>
    <row r="114" spans="1:13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</row>
    <row r="115" spans="1:13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</row>
    <row r="116" spans="1:13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</row>
    <row r="117" spans="1:13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</row>
    <row r="118" spans="1:13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</row>
    <row r="119" spans="1:13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</row>
    <row r="120" spans="1:13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</row>
    <row r="121" spans="1:13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</row>
    <row r="122" spans="1:13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>1.96*(C136/SQRT(COUNT(C2:C133)))</f>
        <v>#DIV/0!</v>
      </c>
      <c r="D137" s="6" t="e">
        <f>1.96*(D136/SQRT(COUNT(D2:D133)))</f>
        <v>#DIV/0!</v>
      </c>
      <c r="E137" s="6" t="e">
        <f>1.96*(E136/SQRT(COUNT(E2:E133)))</f>
        <v>#DIV/0!</v>
      </c>
      <c r="F137" s="6" t="e">
        <f>1.96*(F136/SQRT(COUNT(F2:F133)))</f>
        <v>#DIV/0!</v>
      </c>
      <c r="G137" s="6" t="e">
        <f>1.96*(G136/SQRT(COUNT(G2:G133)))</f>
        <v>#DIV/0!</v>
      </c>
      <c r="H137" s="6" t="e">
        <f>1.96*(H136/SQRT(COUNT(H2:H133)))</f>
        <v>#DIV/0!</v>
      </c>
      <c r="I137" s="6" t="e">
        <f>1.96*(I136/SQRT(COUNT(I2:I133)))</f>
        <v>#DIV/0!</v>
      </c>
      <c r="J137" s="6" t="e">
        <f>1.96*(J136/SQRT(COUNT(J2:J133)))</f>
        <v>#DIV/0!</v>
      </c>
      <c r="K137" s="6" t="e">
        <f>1.96*(K136/SQRT(COUNT(K2:K133)))</f>
        <v>#DIV/0!</v>
      </c>
      <c r="L137" s="6" t="e">
        <f>1.96*(L136/SQRT(COUNT(L2:L133)))</f>
        <v>#DIV/0!</v>
      </c>
      <c r="M137" s="6" t="e">
        <f>1.96*(M136/SQRT(COUNT(M2:M133)))</f>
        <v>#DIV/0!</v>
      </c>
      <c r="N137" s="6" t="e">
        <f>1.96*(N136/SQRT(COUNT(N2:N133)))</f>
        <v>#DIV/0!</v>
      </c>
      <c r="O137" s="6" t="e">
        <f>1.96*(O136/SQRT(COUNT(O2:O133)))</f>
        <v>#DIV/0!</v>
      </c>
      <c r="P137" s="6" t="e">
        <f>1.96*(P136/SQRT(COUNT(P2:P133)))</f>
        <v>#DIV/0!</v>
      </c>
      <c r="Q137" s="6" t="e">
        <f>1.96*(Q136/SQRT(COUNT(Q2:Q133)))</f>
        <v>#DIV/0!</v>
      </c>
      <c r="R137" s="6" t="e">
        <f>1.96*(R136/SQRT(COUNT(R2:R133)))</f>
        <v>#DIV/0!</v>
      </c>
      <c r="S137" s="6" t="e">
        <f>1.96*(S136/SQRT(COUNT(S2:S133)))</f>
        <v>#DIV/0!</v>
      </c>
      <c r="T137" s="6" t="e">
        <f>1.96*(T136/SQRT(COUNT(T2:T133)))</f>
        <v>#DIV/0!</v>
      </c>
      <c r="U137" s="6" t="e">
        <f>1.96*(U136/SQRT(COUNT(U2:U133)))</f>
        <v>#DIV/0!</v>
      </c>
      <c r="V137" s="6" t="e">
        <f>1.96*(V136/SQRT(COUNT(V2:V133)))</f>
        <v>#DIV/0!</v>
      </c>
      <c r="W137" s="6" t="e">
        <f>1.96*(W136/SQRT(COUNT(W2:W133)))</f>
        <v>#DIV/0!</v>
      </c>
      <c r="X137" s="6" t="e">
        <f>1.96*(X136/SQRT(COUNT(X2:X133)))</f>
        <v>#DIV/0!</v>
      </c>
      <c r="Y137" s="6" t="e">
        <f>1.96*(Y136/SQRT(COUNT(Y2:Y133)))</f>
        <v>#DIV/0!</v>
      </c>
      <c r="Z137" s="6" t="e">
        <f>1.96*(Z136/SQRT(COUNT(Z2:Z133)))</f>
        <v>#DIV/0!</v>
      </c>
      <c r="AA137" s="6" t="e">
        <f>1.96*(AA136/SQRT(COUNT(AA2:AA133)))</f>
        <v>#DIV/0!</v>
      </c>
      <c r="AB137" s="6" t="e">
        <f>1.96*(AB136/SQRT(COUNT(AB2:AB133)))</f>
        <v>#DIV/0!</v>
      </c>
      <c r="AC137" s="6" t="e">
        <f>1.96*(AC136/SQRT(COUNT(AC2:AC133)))</f>
        <v>#DIV/0!</v>
      </c>
      <c r="AD137" s="6" t="e">
        <f>1.96*(AD136/SQRT(COUNT(AD2:AD133)))</f>
        <v>#DIV/0!</v>
      </c>
      <c r="AE137" s="6" t="e">
        <f>1.96*(AE136/SQRT(COUNT(AE2:AE133)))</f>
        <v>#DIV/0!</v>
      </c>
      <c r="AF137" s="6" t="e">
        <f>1.96*(AF136/SQRT(COUNT(AF2:AF133)))</f>
        <v>#DIV/0!</v>
      </c>
      <c r="AG137" s="6" t="e">
        <f>1.96*(AG136/SQRT(COUNT(AG2:AG133)))</f>
        <v>#DIV/0!</v>
      </c>
      <c r="AH137" s="6" t="e">
        <f>1.96*(AH136/SQRT(COUNT(AH2:AH133)))</f>
        <v>#DIV/0!</v>
      </c>
      <c r="AI137" s="6" t="e">
        <f>1.96*(AI136/SQRT(COUNT(AI2:AI133)))</f>
        <v>#DIV/0!</v>
      </c>
      <c r="AJ137" s="6" t="e">
        <f>1.96*(AJ136/SQRT(COUNT(AJ2:AJ133)))</f>
        <v>#DIV/0!</v>
      </c>
      <c r="AK137" s="6" t="e">
        <f>1.96*(AK136/SQRT(COUNT(AK2:AK133)))</f>
        <v>#DIV/0!</v>
      </c>
      <c r="AL137" s="6" t="e">
        <f>1.96*(AL136/SQRT(COUNT(AL2:AL133)))</f>
        <v>#DIV/0!</v>
      </c>
      <c r="AM137" s="6" t="e">
        <f>1.96*(AM136/SQRT(COUNT(AM2:AM133)))</f>
        <v>#DIV/0!</v>
      </c>
      <c r="AN137" s="6" t="e">
        <f>1.96*(AN136/SQRT(COUNT(AN2:AN133)))</f>
        <v>#DIV/0!</v>
      </c>
      <c r="AO137" s="6" t="e">
        <f>1.96*(AO136/SQRT(COUNT(AO2:AO133)))</f>
        <v>#DIV/0!</v>
      </c>
      <c r="AP137" s="6" t="e">
        <f>1.96*(AP136/SQRT(COUNT(AP2:AP133)))</f>
        <v>#DIV/0!</v>
      </c>
      <c r="AQ137" s="6" t="e">
        <f>1.96*(AQ136/SQRT(COUNT(AQ2:AQ133)))</f>
        <v>#DIV/0!</v>
      </c>
      <c r="AR137" s="6" t="e">
        <f>1.96*(AR136/SQRT(COUNT(AR2:AR133)))</f>
        <v>#DIV/0!</v>
      </c>
      <c r="AS137" s="6" t="e">
        <f>1.96*(AS136/SQRT(COUNT(AS2:AS133)))</f>
        <v>#DIV/0!</v>
      </c>
      <c r="AT137" s="6" t="e">
        <f>1.96*(AT136/SQRT(COUNT(AT2:AT133)))</f>
        <v>#DIV/0!</v>
      </c>
      <c r="AU137" s="6" t="e">
        <f>1.96*(AU136/SQRT(COUNT(AU2:AU133)))</f>
        <v>#DIV/0!</v>
      </c>
      <c r="AV137" s="6" t="e">
        <f>1.96*(AV136/SQRT(COUNT(AV2:AV133)))</f>
        <v>#DIV/0!</v>
      </c>
      <c r="AW137" s="6" t="e">
        <f>1.96*(AW136/SQRT(COUNT(AW2:AW133)))</f>
        <v>#DIV/0!</v>
      </c>
      <c r="AX137" s="6" t="e">
        <f>1.96*(AX136/SQRT(COUNT(AX2:AX133)))</f>
        <v>#DIV/0!</v>
      </c>
      <c r="AY137" s="6" t="e">
        <f>1.96*(AY136/SQRT(COUNT(AY2:AY133)))</f>
        <v>#DIV/0!</v>
      </c>
      <c r="AZ137" s="6" t="e">
        <f>1.96*(AZ136/SQRT(COUNT(AZ2:AZ133)))</f>
        <v>#DIV/0!</v>
      </c>
      <c r="BA137" s="6" t="e">
        <f>1.96*(BA136/SQRT(COUNT(BA2:BA133)))</f>
        <v>#DIV/0!</v>
      </c>
      <c r="BB137" s="6" t="e">
        <f>1.96*(BB136/SQRT(COUNT(BB2:BB133)))</f>
        <v>#DIV/0!</v>
      </c>
      <c r="BC137" s="6" t="e">
        <f>1.96*(BC136/SQRT(COUNT(BC2:BC133)))</f>
        <v>#DIV/0!</v>
      </c>
      <c r="BD137" s="6" t="e">
        <f>1.96*(BD136/SQRT(COUNT(BD2:BD133)))</f>
        <v>#DIV/0!</v>
      </c>
      <c r="BE137" s="6" t="e">
        <f>1.96*(BE136/SQRT(COUNT(BE2:BE133)))</f>
        <v>#DIV/0!</v>
      </c>
      <c r="BF137" s="6" t="e">
        <f>1.96*(BF136/SQRT(COUNT(BF2:BF133)))</f>
        <v>#DIV/0!</v>
      </c>
      <c r="BG137" s="6" t="e">
        <f>1.96*(BG136/SQRT(COUNT(BG2:BG133)))</f>
        <v>#DIV/0!</v>
      </c>
      <c r="BH137" s="6" t="e">
        <f>1.96*(BH136/SQRT(COUNT(BH2:BH133)))</f>
        <v>#DIV/0!</v>
      </c>
      <c r="BI137" s="6" t="e">
        <f>1.96*(BI136/SQRT(COUNT(BI2:BI133)))</f>
        <v>#DIV/0!</v>
      </c>
      <c r="BJ137" s="6" t="e">
        <f>1.96*(BJ136/SQRT(COUNT(BJ2:BJ133)))</f>
        <v>#DIV/0!</v>
      </c>
      <c r="BK137" s="6" t="e">
        <f>1.96*(BK136/SQRT(COUNT(BK2:BK133)))</f>
        <v>#DIV/0!</v>
      </c>
      <c r="BL137" s="6" t="e">
        <f>1.96*(BL136/SQRT(COUNT(BL2:BL133)))</f>
        <v>#DIV/0!</v>
      </c>
      <c r="BM137" s="6" t="e">
        <f>1.96*(BM136/SQRT(COUNT(BM2:BM133)))</f>
        <v>#DIV/0!</v>
      </c>
      <c r="BN137" s="6" t="e">
        <f>1.96*(BN136/SQRT(COUNT(BN2:BN133)))</f>
        <v>#DIV/0!</v>
      </c>
      <c r="BO137" s="6" t="e">
        <f>1.96*(BO136/SQRT(COUNT(BO2:BO133)))</f>
        <v>#DIV/0!</v>
      </c>
      <c r="BP137" s="6" t="e">
        <f>1.96*(BP136/SQRT(COUNT(BP2:BP133)))</f>
        <v>#DIV/0!</v>
      </c>
      <c r="BQ137" s="6" t="e">
        <f>1.96*(BQ136/SQRT(COUNT(BQ2:BQ133)))</f>
        <v>#DIV/0!</v>
      </c>
      <c r="BR137" s="6" t="e">
        <f>1.96*(BR136/SQRT(COUNT(BR2:BR133)))</f>
        <v>#DIV/0!</v>
      </c>
      <c r="BS137" s="6" t="e">
        <f>1.96*(BS136/SQRT(COUNT(BS2:BS133)))</f>
        <v>#DIV/0!</v>
      </c>
      <c r="BT137" s="6" t="e">
        <f>1.96*(BT136/SQRT(COUNT(BT2:BT133)))</f>
        <v>#DIV/0!</v>
      </c>
      <c r="BU137" s="6" t="e">
        <f>1.96*(BU136/SQRT(COUNT(BU2:BU133)))</f>
        <v>#DIV/0!</v>
      </c>
      <c r="BV137" s="6" t="e">
        <f>1.96*(BV136/SQRT(COUNT(BV2:BV133)))</f>
        <v>#DIV/0!</v>
      </c>
      <c r="BW137" s="6" t="e">
        <f>1.96*(BW136/SQRT(COUNT(BW2:BW133)))</f>
        <v>#DIV/0!</v>
      </c>
      <c r="BX137" s="6" t="e">
        <f>1.96*(BX136/SQRT(COUNT(BX2:BX133)))</f>
        <v>#DIV/0!</v>
      </c>
      <c r="BY137" s="6" t="e">
        <f>1.96*(BY136/SQRT(COUNT(BY2:BY133)))</f>
        <v>#DIV/0!</v>
      </c>
      <c r="BZ137" s="6" t="e">
        <f>1.96*(BZ136/SQRT(COUNT(BZ2:BZ133)))</f>
        <v>#DIV/0!</v>
      </c>
      <c r="CA137" s="6" t="e">
        <f>1.96*(CA136/SQRT(COUNT(CA2:CA133)))</f>
        <v>#DIV/0!</v>
      </c>
      <c r="CB137" s="6" t="e">
        <f>1.96*(CB136/SQRT(COUNT(CB2:CB133)))</f>
        <v>#DIV/0!</v>
      </c>
      <c r="CC137" s="6" t="e">
        <f>1.96*(CC136/SQRT(COUNT(CC2:CC133)))</f>
        <v>#DIV/0!</v>
      </c>
      <c r="CD137" s="6" t="e">
        <f>1.96*(CD136/SQRT(COUNT(CD2:CD133)))</f>
        <v>#DIV/0!</v>
      </c>
      <c r="CE137" s="6" t="e">
        <f>1.96*(CE136/SQRT(COUNT(CE2:CE133)))</f>
        <v>#DIV/0!</v>
      </c>
      <c r="CF137" s="6" t="e">
        <f>1.96*(CF136/SQRT(COUNT(CF2:CF133)))</f>
        <v>#DIV/0!</v>
      </c>
      <c r="CG137" s="6" t="e">
        <f>1.96*(CG136/SQRT(COUNT(CG2:CG133)))</f>
        <v>#DIV/0!</v>
      </c>
      <c r="CH137" s="6" t="e">
        <f>1.96*(CH136/SQRT(COUNT(CH2:CH133)))</f>
        <v>#DIV/0!</v>
      </c>
      <c r="CI137" s="6" t="e">
        <f>1.96*(CI136/SQRT(COUNT(CI2:CI133)))</f>
        <v>#DIV/0!</v>
      </c>
      <c r="CJ137" s="6" t="e">
        <f>1.96*(CJ136/SQRT(COUNT(CJ2:CJ133)))</f>
        <v>#DIV/0!</v>
      </c>
      <c r="CK137" s="6" t="e">
        <f>1.96*(CK136/SQRT(COUNT(CK2:CK133)))</f>
        <v>#DIV/0!</v>
      </c>
      <c r="CL137" s="6" t="e">
        <f>1.96*(CL136/SQRT(COUNT(CL2:CL133)))</f>
        <v>#DIV/0!</v>
      </c>
      <c r="CM137" s="6" t="e">
        <f>1.96*(CM136/SQRT(COUNT(CM2:CM133)))</f>
        <v>#DIV/0!</v>
      </c>
      <c r="CN137" s="6" t="e">
        <f>1.96*(CN136/SQRT(COUNT(CN2:CN133)))</f>
        <v>#DIV/0!</v>
      </c>
      <c r="CO137" s="6" t="e">
        <f>1.96*(CO136/SQRT(COUNT(CO2:CO133)))</f>
        <v>#DIV/0!</v>
      </c>
      <c r="CP137" s="6" t="e">
        <f>1.96*(CP136/SQRT(COUNT(CP2:CP133)))</f>
        <v>#DIV/0!</v>
      </c>
      <c r="CQ137" s="6" t="e">
        <f>1.96*(CQ136/SQRT(COUNT(CQ2:CQ133)))</f>
        <v>#DIV/0!</v>
      </c>
      <c r="CR137" s="6" t="e">
        <f>1.96*(CR136/SQRT(COUNT(CR2:CR133)))</f>
        <v>#DIV/0!</v>
      </c>
      <c r="CS137" s="6" t="e">
        <f>1.96*(CS136/SQRT(COUNT(CS2:CS133)))</f>
        <v>#DIV/0!</v>
      </c>
      <c r="CT137" s="6" t="e">
        <f>1.96*(CT136/SQRT(COUNT(CT2:CT133)))</f>
        <v>#DIV/0!</v>
      </c>
      <c r="CU137" s="6" t="e">
        <f>1.96*(CU136/SQRT(COUNT(CU2:CU133)))</f>
        <v>#DIV/0!</v>
      </c>
      <c r="CV137" s="6" t="e">
        <f>1.96*(CV136/SQRT(COUNT(CV2:CV133)))</f>
        <v>#DIV/0!</v>
      </c>
      <c r="CW137" s="6" t="e">
        <f>1.96*(CW136/SQRT(COUNT(CW2:CW133)))</f>
        <v>#DIV/0!</v>
      </c>
      <c r="CX137" s="6" t="e">
        <f>1.96*(CX136/SQRT(COUNT(CX2:CX133)))</f>
        <v>#DIV/0!</v>
      </c>
      <c r="CY137" s="6" t="e">
        <f>1.96*(CY136/SQRT(COUNT(CY2:CY133)))</f>
        <v>#DIV/0!</v>
      </c>
      <c r="CZ137" s="6" t="e">
        <f>1.96*(CZ136/SQRT(COUNT(CZ2:CZ133)))</f>
        <v>#DIV/0!</v>
      </c>
      <c r="DA137" s="6" t="e">
        <f>1.96*(DA136/SQRT(COUNT(DA2:DA133)))</f>
        <v>#DIV/0!</v>
      </c>
      <c r="DB137" s="6" t="e">
        <f>1.96*(DB136/SQRT(COUNT(DB2:DB133)))</f>
        <v>#DIV/0!</v>
      </c>
      <c r="DC137" s="6" t="e">
        <f>1.96*(DC136/SQRT(COUNT(DC2:DC133)))</f>
        <v>#DIV/0!</v>
      </c>
      <c r="DD137" s="6" t="e">
        <f>1.96*(DD136/SQRT(COUNT(DD2:DD133)))</f>
        <v>#DIV/0!</v>
      </c>
      <c r="DE137" s="6" t="e">
        <f>1.96*(DE136/SQRT(COUNT(DE2:DE133)))</f>
        <v>#DIV/0!</v>
      </c>
      <c r="DF137" s="6" t="e">
        <f>1.96*(DF136/SQRT(COUNT(DF2:DF133)))</f>
        <v>#DIV/0!</v>
      </c>
      <c r="DG137" s="6" t="e">
        <f>1.96*(DG136/SQRT(COUNT(DG2:DG133)))</f>
        <v>#DIV/0!</v>
      </c>
      <c r="DH137" s="6" t="e">
        <f>1.96*(DH136/SQRT(COUNT(DH2:DH133)))</f>
        <v>#DIV/0!</v>
      </c>
      <c r="DI137" s="6" t="e">
        <f>1.96*(DI136/SQRT(COUNT(DI2:DI133)))</f>
        <v>#DIV/0!</v>
      </c>
      <c r="DJ137" s="6" t="e">
        <f>1.96*(DJ136/SQRT(COUNT(DJ2:DJ133)))</f>
        <v>#DIV/0!</v>
      </c>
      <c r="DK137" s="6" t="e">
        <f>1.96*(DK136/SQRT(COUNT(DK2:DK133)))</f>
        <v>#DIV/0!</v>
      </c>
      <c r="DL137" s="6" t="e">
        <f>1.96*(DL136/SQRT(COUNT(DL2:DL133)))</f>
        <v>#DIV/0!</v>
      </c>
      <c r="DM137" s="6" t="e">
        <f>1.96*(DM136/SQRT(COUNT(DM2:DM133)))</f>
        <v>#DIV/0!</v>
      </c>
      <c r="DN137" s="6" t="e">
        <f>1.96*(DN136/SQRT(COUNT(DN2:DN133)))</f>
        <v>#DIV/0!</v>
      </c>
      <c r="DO137" s="6" t="e">
        <f>1.96*(DO136/SQRT(COUNT(DO2:DO133)))</f>
        <v>#DIV/0!</v>
      </c>
      <c r="DP137" s="6" t="e">
        <f>1.96*(DP136/SQRT(COUNT(DP2:DP133)))</f>
        <v>#DIV/0!</v>
      </c>
      <c r="DQ137" s="6" t="e">
        <f>1.96*(DQ136/SQRT(COUNT(DQ2:DQ133)))</f>
        <v>#DIV/0!</v>
      </c>
      <c r="DR137" s="6" t="e">
        <f>1.96*(DR136/SQRT(COUNT(DR2:DR133)))</f>
        <v>#DIV/0!</v>
      </c>
      <c r="DS137" s="6" t="e">
        <f>1.96*(DS136/SQRT(COUNT(DS2:DS133)))</f>
        <v>#DIV/0!</v>
      </c>
      <c r="DT137" s="6" t="e">
        <f>1.96*(DT136/SQRT(COUNT(DT2:DT133)))</f>
        <v>#DIV/0!</v>
      </c>
      <c r="DU137" s="6" t="e">
        <f>1.96*(DU136/SQRT(COUNT(DU2:DU133)))</f>
        <v>#DIV/0!</v>
      </c>
      <c r="DV137" s="6" t="e">
        <f>1.96*(DV136/SQRT(COUNT(DV2:DV133)))</f>
        <v>#DIV/0!</v>
      </c>
      <c r="DW137" s="6" t="e">
        <f>1.96*(DW136/SQRT(COUNT(DW2:DW133)))</f>
        <v>#DIV/0!</v>
      </c>
      <c r="DX137" s="6" t="e">
        <f>1.96*(DX136/SQRT(COUNT(DX2:DX133)))</f>
        <v>#DIV/0!</v>
      </c>
      <c r="DY137" s="6" t="e">
        <f>1.96*(DY136/SQRT(COUNT(DY2:DY133)))</f>
        <v>#DIV/0!</v>
      </c>
      <c r="DZ137" s="6" t="e">
        <f>1.96*(DZ136/SQRT(COUNT(DZ2:DZ133)))</f>
        <v>#DIV/0!</v>
      </c>
      <c r="EA137" s="6" t="e">
        <f>1.96*(EA136/SQRT(COUNT(EA2:EA133)))</f>
        <v>#DIV/0!</v>
      </c>
      <c r="EB137" s="6" t="e">
        <f>1.96*(EB136/SQRT(COUNT(EB2:EB133)))</f>
        <v>#DIV/0!</v>
      </c>
      <c r="EC137" s="6" t="e">
        <f>1.96*(EC136/SQRT(COUNT(EC2:EC133)))</f>
        <v>#DIV/0!</v>
      </c>
      <c r="ED137" s="6" t="e">
        <f>1.96*(ED136/SQRT(COUNT(ED2:ED133)))</f>
        <v>#DIV/0!</v>
      </c>
      <c r="EE137" s="6" t="e">
        <f>1.96*(EE136/SQRT(COUNT(EE2:EE133)))</f>
        <v>#DIV/0!</v>
      </c>
      <c r="EF137" s="6" t="e">
        <f>1.96*(EF136/SQRT(COUNT(EF2:EF133)))</f>
        <v>#DIV/0!</v>
      </c>
      <c r="EG137" s="6" t="e">
        <f>1.96*(EG136/SQRT(COUNT(EG2:EG133)))</f>
        <v>#DIV/0!</v>
      </c>
      <c r="EH137" s="6" t="e">
        <f>1.96*(EH136/SQRT(COUNT(EH2:EH133)))</f>
        <v>#DIV/0!</v>
      </c>
      <c r="EI137" s="6" t="e">
        <f>1.96*(EI136/SQRT(COUNT(EI2:EI133)))</f>
        <v>#DIV/0!</v>
      </c>
      <c r="EJ137" s="6" t="e">
        <f>1.96*(EJ136/SQRT(COUNT(EJ2:EJ133)))</f>
        <v>#DIV/0!</v>
      </c>
      <c r="EK137" s="6" t="e">
        <f>1.96*(EK136/SQRT(COUNT(EK2:EK133)))</f>
        <v>#DIV/0!</v>
      </c>
      <c r="EL137" s="6" t="e">
        <f>1.96*(EL136/SQRT(COUNT(EL2:EL133)))</f>
        <v>#DIV/0!</v>
      </c>
      <c r="EM137" s="6" t="e">
        <f>1.96*(EM136/SQRT(COUNT(EM2:EM133)))</f>
        <v>#DIV/0!</v>
      </c>
      <c r="EN137" s="6" t="e">
        <f>1.96*(EN136/SQRT(COUNT(EN2:EN133)))</f>
        <v>#DIV/0!</v>
      </c>
      <c r="EO137" s="6" t="e">
        <f>1.96*(EO136/SQRT(COUNT(EO2:EO133)))</f>
        <v>#DIV/0!</v>
      </c>
      <c r="EP137" s="6" t="e">
        <f>1.96*(EP136/SQRT(COUNT(EP2:EP133)))</f>
        <v>#DIV/0!</v>
      </c>
      <c r="EQ137" s="6" t="e">
        <f>1.96*(EQ136/SQRT(COUNT(EQ2:EQ133)))</f>
        <v>#DIV/0!</v>
      </c>
      <c r="ER137" s="6" t="e">
        <f>1.96*(ER136/SQRT(COUNT(ER2:ER133)))</f>
        <v>#DIV/0!</v>
      </c>
      <c r="ES137" s="6" t="e">
        <f>1.96*(ES136/SQRT(COUNT(ES2:ES133)))</f>
        <v>#DIV/0!</v>
      </c>
      <c r="ET137" s="6" t="e">
        <f>1.96*(ET136/SQRT(COUNT(ET2:ET133)))</f>
        <v>#DIV/0!</v>
      </c>
      <c r="EU137" s="6" t="e">
        <f>1.96*(EU136/SQRT(COUNT(EU2:EU133)))</f>
        <v>#DIV/0!</v>
      </c>
      <c r="EV137" s="6" t="e">
        <f>1.96*(EV136/SQRT(COUNT(EV2:EV133)))</f>
        <v>#DIV/0!</v>
      </c>
      <c r="EW137" s="6" t="e">
        <f>1.96*(EW136/SQRT(COUNT(EW2:EW133)))</f>
        <v>#DIV/0!</v>
      </c>
      <c r="EX137" s="6" t="e">
        <f>1.96*(EX136/SQRT(COUNT(EX2:EX133)))</f>
        <v>#DIV/0!</v>
      </c>
      <c r="EY137" s="6" t="e">
        <f>1.96*(EY136/SQRT(COUNT(EY2:EY133)))</f>
        <v>#DIV/0!</v>
      </c>
      <c r="EZ137" s="6" t="e">
        <f>1.96*(EZ136/SQRT(COUNT(EZ2:EZ133)))</f>
        <v>#DIV/0!</v>
      </c>
      <c r="FA137" s="6" t="e">
        <f>1.96*(FA136/SQRT(COUNT(FA2:FA133)))</f>
        <v>#DIV/0!</v>
      </c>
      <c r="FB137" s="6" t="e">
        <f>1.96*(FB136/SQRT(COUNT(FB2:FB133)))</f>
        <v>#DIV/0!</v>
      </c>
      <c r="FC137" s="6" t="e">
        <f>1.96*(FC136/SQRT(COUNT(FC2:FC133)))</f>
        <v>#DIV/0!</v>
      </c>
      <c r="FD137" s="6" t="e">
        <f>1.96*(FD136/SQRT(COUNT(FD2:FD133)))</f>
        <v>#DIV/0!</v>
      </c>
      <c r="FE137" s="6" t="e">
        <f>1.96*(FE136/SQRT(COUNT(FE2:FE133)))</f>
        <v>#DIV/0!</v>
      </c>
      <c r="FF137" s="6" t="e">
        <f>1.96*(FF136/SQRT(COUNT(FF2:FF133)))</f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FV138"/>
  <sheetViews>
    <sheetView topLeftCell="A36" workbookViewId="0">
      <selection activeCell="A44" sqref="A44:XFD107"/>
    </sheetView>
  </sheetViews>
  <sheetFormatPr defaultRowHeight="15"/>
  <sheetData>
    <row r="1" spans="1:178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</row>
    <row r="2" spans="1:178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78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78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7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78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78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78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7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7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7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7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7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7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7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7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6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6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6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6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6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6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6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6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6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6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6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05" spans="1:132" s="6" customForma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</row>
    <row r="106" spans="1:132" s="6" customForma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</row>
    <row r="107" spans="1:132" s="6" customForma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</row>
    <row r="108" spans="1:13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</row>
    <row r="109" spans="1:13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</row>
    <row r="110" spans="1:13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</row>
    <row r="111" spans="1:13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</row>
    <row r="112" spans="1:13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</row>
    <row r="113" spans="1:13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</row>
    <row r="114" spans="1:13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</row>
    <row r="115" spans="1:13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</row>
    <row r="116" spans="1:13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</row>
    <row r="117" spans="1:13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</row>
    <row r="118" spans="1:13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</row>
    <row r="119" spans="1:13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</row>
    <row r="120" spans="1:13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</row>
    <row r="121" spans="1:13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</row>
    <row r="122" spans="1:13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FF138"/>
  <sheetViews>
    <sheetView topLeftCell="B99" workbookViewId="0">
      <selection activeCell="A44" sqref="A44:XFD107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6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6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6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6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6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6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6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6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6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6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6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05" spans="1:132" s="6" customForma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</row>
    <row r="106" spans="1:132" s="6" customForma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</row>
    <row r="107" spans="1:132" s="6" customForma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</row>
    <row r="108" spans="1:13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</row>
    <row r="109" spans="1:13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</row>
    <row r="110" spans="1:13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</row>
    <row r="111" spans="1:13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</row>
    <row r="112" spans="1:13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</row>
    <row r="113" spans="1:13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</row>
    <row r="114" spans="1:13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</row>
    <row r="115" spans="1:13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</row>
    <row r="116" spans="1:13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</row>
    <row r="117" spans="1:13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</row>
    <row r="118" spans="1:13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</row>
    <row r="119" spans="1:13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</row>
    <row r="120" spans="1:13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</row>
    <row r="121" spans="1:13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</row>
    <row r="122" spans="1:13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</row>
    <row r="123" spans="1:132">
      <c r="A123" s="1"/>
    </row>
    <row r="124" spans="1:132">
      <c r="A124" s="1"/>
    </row>
    <row r="125" spans="1:132">
      <c r="A125" s="1"/>
    </row>
    <row r="126" spans="1:132">
      <c r="A126" s="1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FF138"/>
  <sheetViews>
    <sheetView topLeftCell="A36" workbookViewId="0">
      <selection activeCell="A41" sqref="A41:XFD104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41" spans="1:162" s="6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</row>
    <row r="42" spans="1:162" s="6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</row>
    <row r="43" spans="1:162" s="6" customForma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FF138"/>
  <sheetViews>
    <sheetView topLeftCell="A36" workbookViewId="0">
      <selection activeCell="A41" sqref="A41:XFD104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41" spans="1:162" s="6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</row>
    <row r="42" spans="1:162" s="6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</row>
    <row r="43" spans="1:162" s="6" customForma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FF138"/>
  <sheetViews>
    <sheetView topLeftCell="A36" workbookViewId="0">
      <selection activeCell="A41" sqref="A41:XFD104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41" spans="1:162" s="6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</row>
    <row r="42" spans="1:162" s="6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</row>
    <row r="43" spans="1:162" s="6" customForma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FF138"/>
  <sheetViews>
    <sheetView topLeftCell="A36" workbookViewId="0">
      <selection activeCell="A41" sqref="A41:XFD104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41" spans="1:162" s="6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</row>
    <row r="42" spans="1:162" s="6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</row>
    <row r="43" spans="1:162" s="6" customForma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FF138"/>
  <sheetViews>
    <sheetView topLeftCell="A114" workbookViewId="0">
      <selection activeCell="A119" sqref="A119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41" spans="1:162" s="6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</row>
    <row r="42" spans="1:162" s="6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</row>
    <row r="43" spans="1:162" s="6" customForma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</row>
    <row r="44" spans="1:162" s="6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</row>
    <row r="45" spans="1:162" s="6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</row>
    <row r="46" spans="1:162" s="6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</row>
    <row r="47" spans="1:162" s="6" customForma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</row>
    <row r="48" spans="1:162" s="6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</row>
    <row r="49" spans="1:132" s="6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</row>
    <row r="50" spans="1:132" s="6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</row>
    <row r="51" spans="1:132" s="6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</row>
    <row r="52" spans="1:132" s="6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</row>
    <row r="53" spans="1:132" s="6" customForma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</row>
    <row r="54" spans="1:132" s="6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</row>
    <row r="55" spans="1:132" s="6" customForma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</row>
    <row r="56" spans="1:132" s="6" customForma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</row>
    <row r="57" spans="1:132" s="6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</row>
    <row r="58" spans="1:132" s="6" customForma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</row>
    <row r="59" spans="1:132" s="6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</row>
    <row r="60" spans="1:132" s="6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</row>
    <row r="61" spans="1:132" s="6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</row>
    <row r="62" spans="1:132" s="6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</row>
    <row r="63" spans="1:132" s="6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</row>
    <row r="64" spans="1:132" s="6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</row>
    <row r="65" spans="1:132" s="6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</row>
    <row r="66" spans="1:132" s="6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</row>
    <row r="67" spans="1:132" s="6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</row>
    <row r="68" spans="1:132" s="6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</row>
    <row r="69" spans="1:132" s="6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</row>
    <row r="70" spans="1:132" s="6" customForma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</row>
    <row r="71" spans="1:132" s="6" customForma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</row>
    <row r="72" spans="1:132" s="6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</row>
    <row r="73" spans="1:132" s="6" customForma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</row>
    <row r="74" spans="1:132" s="6" customForma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</row>
    <row r="75" spans="1:132" s="6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</row>
    <row r="76" spans="1:132" s="6" customForma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</row>
    <row r="77" spans="1:132" s="6" customForma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</row>
    <row r="78" spans="1:132" s="6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</row>
    <row r="79" spans="1:132" s="6" customForma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</row>
    <row r="80" spans="1:132" s="6" customForma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</row>
    <row r="81" spans="1:132" s="6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</row>
    <row r="82" spans="1:132" s="6" customForma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</row>
    <row r="83" spans="1:132" s="6" customForma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</row>
    <row r="84" spans="1:132" s="6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</row>
    <row r="85" spans="1:132" s="6" customForma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</row>
    <row r="86" spans="1:132" s="6" customForma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</row>
    <row r="87" spans="1:132" s="6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</row>
    <row r="88" spans="1:132" s="6" customForma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</row>
    <row r="89" spans="1:132" s="6" customForma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</row>
    <row r="90" spans="1:132" s="6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</row>
    <row r="91" spans="1:132" s="6" customForma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</row>
    <row r="92" spans="1:132" s="6" customForma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</row>
    <row r="93" spans="1:132" s="6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</row>
    <row r="94" spans="1:132" s="6" customForma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</row>
    <row r="95" spans="1:132" s="6" customForma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</row>
    <row r="96" spans="1:132" s="6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</row>
    <row r="97" spans="1:132" s="6" customForma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</row>
    <row r="98" spans="1:132" s="6" customForma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</row>
    <row r="99" spans="1:132" s="6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</row>
    <row r="100" spans="1:132" s="6" customForma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</row>
    <row r="101" spans="1:132" s="6" customForma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</row>
    <row r="102" spans="1:132" s="6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</row>
    <row r="103" spans="1:132" s="6" customForma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</row>
    <row r="104" spans="1:132" s="6" customForma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</row>
    <row r="135" spans="1:162">
      <c r="A135" s="6"/>
      <c r="B135" s="6" t="e">
        <f>AVERAGE(B2:B133)</f>
        <v>#DIV/0!</v>
      </c>
      <c r="C135" s="6" t="e">
        <f t="shared" ref="C135:BN135" si="0">AVERAGE(C2:C133)</f>
        <v>#DIV/0!</v>
      </c>
      <c r="D135" s="6" t="e">
        <f t="shared" si="0"/>
        <v>#DIV/0!</v>
      </c>
      <c r="E135" s="6" t="e">
        <f t="shared" si="0"/>
        <v>#DIV/0!</v>
      </c>
      <c r="F135" s="6" t="e">
        <f t="shared" si="0"/>
        <v>#DIV/0!</v>
      </c>
      <c r="G135" s="6" t="e">
        <f t="shared" si="0"/>
        <v>#DIV/0!</v>
      </c>
      <c r="H135" s="6" t="e">
        <f t="shared" si="0"/>
        <v>#DIV/0!</v>
      </c>
      <c r="I135" s="6" t="e">
        <f t="shared" si="0"/>
        <v>#DIV/0!</v>
      </c>
      <c r="J135" s="6" t="e">
        <f t="shared" si="0"/>
        <v>#DIV/0!</v>
      </c>
      <c r="K135" s="6" t="e">
        <f t="shared" si="0"/>
        <v>#DIV/0!</v>
      </c>
      <c r="L135" s="6" t="e">
        <f t="shared" si="0"/>
        <v>#DIV/0!</v>
      </c>
      <c r="M135" s="6" t="e">
        <f t="shared" si="0"/>
        <v>#DIV/0!</v>
      </c>
      <c r="N135" s="6" t="e">
        <f t="shared" si="0"/>
        <v>#DIV/0!</v>
      </c>
      <c r="O135" s="6" t="e">
        <f t="shared" si="0"/>
        <v>#DIV/0!</v>
      </c>
      <c r="P135" s="6" t="e">
        <f t="shared" si="0"/>
        <v>#DIV/0!</v>
      </c>
      <c r="Q135" s="6" t="e">
        <f t="shared" si="0"/>
        <v>#DIV/0!</v>
      </c>
      <c r="R135" s="6" t="e">
        <f t="shared" si="0"/>
        <v>#DIV/0!</v>
      </c>
      <c r="S135" s="6" t="e">
        <f t="shared" si="0"/>
        <v>#DIV/0!</v>
      </c>
      <c r="T135" s="6" t="e">
        <f t="shared" si="0"/>
        <v>#DIV/0!</v>
      </c>
      <c r="U135" s="6" t="e">
        <f t="shared" si="0"/>
        <v>#DIV/0!</v>
      </c>
      <c r="V135" s="6" t="e">
        <f t="shared" si="0"/>
        <v>#DIV/0!</v>
      </c>
      <c r="W135" s="6" t="e">
        <f t="shared" si="0"/>
        <v>#DIV/0!</v>
      </c>
      <c r="X135" s="6" t="e">
        <f t="shared" si="0"/>
        <v>#DIV/0!</v>
      </c>
      <c r="Y135" s="6" t="e">
        <f t="shared" si="0"/>
        <v>#DIV/0!</v>
      </c>
      <c r="Z135" s="6" t="e">
        <f t="shared" si="0"/>
        <v>#DIV/0!</v>
      </c>
      <c r="AA135" s="6" t="e">
        <f t="shared" si="0"/>
        <v>#DIV/0!</v>
      </c>
      <c r="AB135" s="6" t="e">
        <f t="shared" si="0"/>
        <v>#DIV/0!</v>
      </c>
      <c r="AC135" s="6" t="e">
        <f t="shared" si="0"/>
        <v>#DIV/0!</v>
      </c>
      <c r="AD135" s="6" t="e">
        <f t="shared" si="0"/>
        <v>#DIV/0!</v>
      </c>
      <c r="AE135" s="6" t="e">
        <f t="shared" si="0"/>
        <v>#DIV/0!</v>
      </c>
      <c r="AF135" s="6" t="e">
        <f t="shared" si="0"/>
        <v>#DIV/0!</v>
      </c>
      <c r="AG135" s="6" t="e">
        <f t="shared" si="0"/>
        <v>#DIV/0!</v>
      </c>
      <c r="AH135" s="6" t="e">
        <f t="shared" si="0"/>
        <v>#DIV/0!</v>
      </c>
      <c r="AI135" s="6" t="e">
        <f t="shared" si="0"/>
        <v>#DIV/0!</v>
      </c>
      <c r="AJ135" s="6" t="e">
        <f t="shared" si="0"/>
        <v>#DIV/0!</v>
      </c>
      <c r="AK135" s="6" t="e">
        <f t="shared" si="0"/>
        <v>#DIV/0!</v>
      </c>
      <c r="AL135" s="6" t="e">
        <f t="shared" si="0"/>
        <v>#DIV/0!</v>
      </c>
      <c r="AM135" s="6" t="e">
        <f t="shared" si="0"/>
        <v>#DIV/0!</v>
      </c>
      <c r="AN135" s="6" t="e">
        <f t="shared" si="0"/>
        <v>#DIV/0!</v>
      </c>
      <c r="AO135" s="6" t="e">
        <f t="shared" si="0"/>
        <v>#DIV/0!</v>
      </c>
      <c r="AP135" s="6" t="e">
        <f t="shared" si="0"/>
        <v>#DIV/0!</v>
      </c>
      <c r="AQ135" s="6" t="e">
        <f t="shared" si="0"/>
        <v>#DIV/0!</v>
      </c>
      <c r="AR135" s="6" t="e">
        <f t="shared" si="0"/>
        <v>#DIV/0!</v>
      </c>
      <c r="AS135" s="6" t="e">
        <f t="shared" si="0"/>
        <v>#DIV/0!</v>
      </c>
      <c r="AT135" s="6" t="e">
        <f t="shared" si="0"/>
        <v>#DIV/0!</v>
      </c>
      <c r="AU135" s="6" t="e">
        <f t="shared" si="0"/>
        <v>#DIV/0!</v>
      </c>
      <c r="AV135" s="6" t="e">
        <f t="shared" si="0"/>
        <v>#DIV/0!</v>
      </c>
      <c r="AW135" s="6" t="e">
        <f t="shared" si="0"/>
        <v>#DIV/0!</v>
      </c>
      <c r="AX135" s="6" t="e">
        <f t="shared" si="0"/>
        <v>#DIV/0!</v>
      </c>
      <c r="AY135" s="6" t="e">
        <f t="shared" si="0"/>
        <v>#DIV/0!</v>
      </c>
      <c r="AZ135" s="6" t="e">
        <f t="shared" si="0"/>
        <v>#DIV/0!</v>
      </c>
      <c r="BA135" s="6" t="e">
        <f t="shared" si="0"/>
        <v>#DIV/0!</v>
      </c>
      <c r="BB135" s="6" t="e">
        <f t="shared" si="0"/>
        <v>#DIV/0!</v>
      </c>
      <c r="BC135" s="6" t="e">
        <f t="shared" si="0"/>
        <v>#DIV/0!</v>
      </c>
      <c r="BD135" s="6" t="e">
        <f t="shared" si="0"/>
        <v>#DIV/0!</v>
      </c>
      <c r="BE135" s="6" t="e">
        <f t="shared" si="0"/>
        <v>#DIV/0!</v>
      </c>
      <c r="BF135" s="6" t="e">
        <f t="shared" si="0"/>
        <v>#DIV/0!</v>
      </c>
      <c r="BG135" s="6" t="e">
        <f t="shared" si="0"/>
        <v>#DIV/0!</v>
      </c>
      <c r="BH135" s="6" t="e">
        <f t="shared" si="0"/>
        <v>#DIV/0!</v>
      </c>
      <c r="BI135" s="6" t="e">
        <f t="shared" si="0"/>
        <v>#DIV/0!</v>
      </c>
      <c r="BJ135" s="6" t="e">
        <f t="shared" si="0"/>
        <v>#DIV/0!</v>
      </c>
      <c r="BK135" s="6" t="e">
        <f t="shared" si="0"/>
        <v>#DIV/0!</v>
      </c>
      <c r="BL135" s="6" t="e">
        <f t="shared" si="0"/>
        <v>#DIV/0!</v>
      </c>
      <c r="BM135" s="6" t="e">
        <f t="shared" si="0"/>
        <v>#DIV/0!</v>
      </c>
      <c r="BN135" s="6" t="e">
        <f t="shared" si="0"/>
        <v>#DIV/0!</v>
      </c>
      <c r="BO135" s="6" t="e">
        <f t="shared" ref="BO135:DZ135" si="1">AVERAGE(BO2:BO133)</f>
        <v>#DIV/0!</v>
      </c>
      <c r="BP135" s="6" t="e">
        <f t="shared" si="1"/>
        <v>#DIV/0!</v>
      </c>
      <c r="BQ135" s="6" t="e">
        <f t="shared" si="1"/>
        <v>#DIV/0!</v>
      </c>
      <c r="BR135" s="6" t="e">
        <f t="shared" si="1"/>
        <v>#DIV/0!</v>
      </c>
      <c r="BS135" s="6" t="e">
        <f t="shared" si="1"/>
        <v>#DIV/0!</v>
      </c>
      <c r="BT135" s="6" t="e">
        <f t="shared" si="1"/>
        <v>#DIV/0!</v>
      </c>
      <c r="BU135" s="6" t="e">
        <f t="shared" si="1"/>
        <v>#DIV/0!</v>
      </c>
      <c r="BV135" s="6" t="e">
        <f t="shared" si="1"/>
        <v>#DIV/0!</v>
      </c>
      <c r="BW135" s="6" t="e">
        <f t="shared" si="1"/>
        <v>#DIV/0!</v>
      </c>
      <c r="BX135" s="6" t="e">
        <f t="shared" si="1"/>
        <v>#DIV/0!</v>
      </c>
      <c r="BY135" s="6" t="e">
        <f t="shared" si="1"/>
        <v>#DIV/0!</v>
      </c>
      <c r="BZ135" s="6" t="e">
        <f t="shared" si="1"/>
        <v>#DIV/0!</v>
      </c>
      <c r="CA135" s="6" t="e">
        <f t="shared" si="1"/>
        <v>#DIV/0!</v>
      </c>
      <c r="CB135" s="6" t="e">
        <f t="shared" si="1"/>
        <v>#DIV/0!</v>
      </c>
      <c r="CC135" s="6" t="e">
        <f t="shared" si="1"/>
        <v>#DIV/0!</v>
      </c>
      <c r="CD135" s="6" t="e">
        <f t="shared" si="1"/>
        <v>#DIV/0!</v>
      </c>
      <c r="CE135" s="6" t="e">
        <f t="shared" si="1"/>
        <v>#DIV/0!</v>
      </c>
      <c r="CF135" s="6" t="e">
        <f t="shared" si="1"/>
        <v>#DIV/0!</v>
      </c>
      <c r="CG135" s="6" t="e">
        <f t="shared" si="1"/>
        <v>#DIV/0!</v>
      </c>
      <c r="CH135" s="6" t="e">
        <f t="shared" si="1"/>
        <v>#DIV/0!</v>
      </c>
      <c r="CI135" s="6" t="e">
        <f t="shared" si="1"/>
        <v>#DIV/0!</v>
      </c>
      <c r="CJ135" s="6" t="e">
        <f t="shared" si="1"/>
        <v>#DIV/0!</v>
      </c>
      <c r="CK135" s="6" t="e">
        <f t="shared" si="1"/>
        <v>#DIV/0!</v>
      </c>
      <c r="CL135" s="6" t="e">
        <f t="shared" si="1"/>
        <v>#DIV/0!</v>
      </c>
      <c r="CM135" s="6" t="e">
        <f t="shared" si="1"/>
        <v>#DIV/0!</v>
      </c>
      <c r="CN135" s="6" t="e">
        <f t="shared" si="1"/>
        <v>#DIV/0!</v>
      </c>
      <c r="CO135" s="6" t="e">
        <f t="shared" si="1"/>
        <v>#DIV/0!</v>
      </c>
      <c r="CP135" s="6" t="e">
        <f t="shared" si="1"/>
        <v>#DIV/0!</v>
      </c>
      <c r="CQ135" s="6" t="e">
        <f t="shared" si="1"/>
        <v>#DIV/0!</v>
      </c>
      <c r="CR135" s="6" t="e">
        <f t="shared" si="1"/>
        <v>#DIV/0!</v>
      </c>
      <c r="CS135" s="6" t="e">
        <f t="shared" si="1"/>
        <v>#DIV/0!</v>
      </c>
      <c r="CT135" s="6" t="e">
        <f t="shared" si="1"/>
        <v>#DIV/0!</v>
      </c>
      <c r="CU135" s="6" t="e">
        <f t="shared" si="1"/>
        <v>#DIV/0!</v>
      </c>
      <c r="CV135" s="6" t="e">
        <f t="shared" si="1"/>
        <v>#DIV/0!</v>
      </c>
      <c r="CW135" s="6" t="e">
        <f t="shared" si="1"/>
        <v>#DIV/0!</v>
      </c>
      <c r="CX135" s="6" t="e">
        <f t="shared" si="1"/>
        <v>#DIV/0!</v>
      </c>
      <c r="CY135" s="6" t="e">
        <f t="shared" si="1"/>
        <v>#DIV/0!</v>
      </c>
      <c r="CZ135" s="6" t="e">
        <f t="shared" si="1"/>
        <v>#DIV/0!</v>
      </c>
      <c r="DA135" s="6" t="e">
        <f t="shared" si="1"/>
        <v>#DIV/0!</v>
      </c>
      <c r="DB135" s="6" t="e">
        <f t="shared" si="1"/>
        <v>#DIV/0!</v>
      </c>
      <c r="DC135" s="6" t="e">
        <f t="shared" si="1"/>
        <v>#DIV/0!</v>
      </c>
      <c r="DD135" s="6" t="e">
        <f t="shared" si="1"/>
        <v>#DIV/0!</v>
      </c>
      <c r="DE135" s="6" t="e">
        <f t="shared" si="1"/>
        <v>#DIV/0!</v>
      </c>
      <c r="DF135" s="6" t="e">
        <f t="shared" si="1"/>
        <v>#DIV/0!</v>
      </c>
      <c r="DG135" s="6" t="e">
        <f t="shared" si="1"/>
        <v>#DIV/0!</v>
      </c>
      <c r="DH135" s="6" t="e">
        <f t="shared" si="1"/>
        <v>#DIV/0!</v>
      </c>
      <c r="DI135" s="6" t="e">
        <f t="shared" si="1"/>
        <v>#DIV/0!</v>
      </c>
      <c r="DJ135" s="6" t="e">
        <f t="shared" si="1"/>
        <v>#DIV/0!</v>
      </c>
      <c r="DK135" s="6" t="e">
        <f t="shared" si="1"/>
        <v>#DIV/0!</v>
      </c>
      <c r="DL135" s="6" t="e">
        <f t="shared" si="1"/>
        <v>#DIV/0!</v>
      </c>
      <c r="DM135" s="6" t="e">
        <f t="shared" si="1"/>
        <v>#DIV/0!</v>
      </c>
      <c r="DN135" s="6" t="e">
        <f t="shared" si="1"/>
        <v>#DIV/0!</v>
      </c>
      <c r="DO135" s="6" t="e">
        <f t="shared" si="1"/>
        <v>#DIV/0!</v>
      </c>
      <c r="DP135" s="6" t="e">
        <f t="shared" si="1"/>
        <v>#DIV/0!</v>
      </c>
      <c r="DQ135" s="6" t="e">
        <f t="shared" si="1"/>
        <v>#DIV/0!</v>
      </c>
      <c r="DR135" s="6" t="e">
        <f t="shared" si="1"/>
        <v>#DIV/0!</v>
      </c>
      <c r="DS135" s="6" t="e">
        <f t="shared" si="1"/>
        <v>#DIV/0!</v>
      </c>
      <c r="DT135" s="6" t="e">
        <f t="shared" si="1"/>
        <v>#DIV/0!</v>
      </c>
      <c r="DU135" s="6" t="e">
        <f t="shared" si="1"/>
        <v>#DIV/0!</v>
      </c>
      <c r="DV135" s="6" t="e">
        <f t="shared" si="1"/>
        <v>#DIV/0!</v>
      </c>
      <c r="DW135" s="6" t="e">
        <f t="shared" si="1"/>
        <v>#DIV/0!</v>
      </c>
      <c r="DX135" s="6" t="e">
        <f t="shared" si="1"/>
        <v>#DIV/0!</v>
      </c>
      <c r="DY135" s="6" t="e">
        <f t="shared" si="1"/>
        <v>#DIV/0!</v>
      </c>
      <c r="DZ135" s="6" t="e">
        <f t="shared" si="1"/>
        <v>#DIV/0!</v>
      </c>
      <c r="EA135" s="6" t="e">
        <f t="shared" ref="EA135:FF135" si="2">AVERAGE(EA2:EA133)</f>
        <v>#DIV/0!</v>
      </c>
      <c r="EB135" s="6" t="e">
        <f t="shared" si="2"/>
        <v>#DIV/0!</v>
      </c>
      <c r="EC135" s="6" t="e">
        <f t="shared" si="2"/>
        <v>#DIV/0!</v>
      </c>
      <c r="ED135" s="6" t="e">
        <f t="shared" si="2"/>
        <v>#DIV/0!</v>
      </c>
      <c r="EE135" s="6" t="e">
        <f t="shared" si="2"/>
        <v>#DIV/0!</v>
      </c>
      <c r="EF135" s="6" t="e">
        <f t="shared" si="2"/>
        <v>#DIV/0!</v>
      </c>
      <c r="EG135" s="6" t="e">
        <f t="shared" si="2"/>
        <v>#DIV/0!</v>
      </c>
      <c r="EH135" s="6" t="e">
        <f t="shared" si="2"/>
        <v>#DIV/0!</v>
      </c>
      <c r="EI135" s="6" t="e">
        <f t="shared" si="2"/>
        <v>#DIV/0!</v>
      </c>
      <c r="EJ135" s="6" t="e">
        <f t="shared" si="2"/>
        <v>#DIV/0!</v>
      </c>
      <c r="EK135" s="6" t="e">
        <f t="shared" si="2"/>
        <v>#DIV/0!</v>
      </c>
      <c r="EL135" s="6" t="e">
        <f t="shared" si="2"/>
        <v>#DIV/0!</v>
      </c>
      <c r="EM135" s="6" t="e">
        <f t="shared" si="2"/>
        <v>#DIV/0!</v>
      </c>
      <c r="EN135" s="6" t="e">
        <f t="shared" si="2"/>
        <v>#DIV/0!</v>
      </c>
      <c r="EO135" s="6" t="e">
        <f t="shared" si="2"/>
        <v>#DIV/0!</v>
      </c>
      <c r="EP135" s="6" t="e">
        <f t="shared" si="2"/>
        <v>#DIV/0!</v>
      </c>
      <c r="EQ135" s="6" t="e">
        <f t="shared" si="2"/>
        <v>#DIV/0!</v>
      </c>
      <c r="ER135" s="6" t="e">
        <f t="shared" si="2"/>
        <v>#DIV/0!</v>
      </c>
      <c r="ES135" s="6" t="e">
        <f t="shared" si="2"/>
        <v>#DIV/0!</v>
      </c>
      <c r="ET135" s="6" t="e">
        <f t="shared" si="2"/>
        <v>#DIV/0!</v>
      </c>
      <c r="EU135" s="6" t="e">
        <f t="shared" si="2"/>
        <v>#DIV/0!</v>
      </c>
      <c r="EV135" s="6" t="e">
        <f t="shared" si="2"/>
        <v>#DIV/0!</v>
      </c>
      <c r="EW135" s="6" t="e">
        <f t="shared" si="2"/>
        <v>#DIV/0!</v>
      </c>
      <c r="EX135" s="6" t="e">
        <f t="shared" si="2"/>
        <v>#DIV/0!</v>
      </c>
      <c r="EY135" s="6" t="e">
        <f t="shared" si="2"/>
        <v>#DIV/0!</v>
      </c>
      <c r="EZ135" s="6" t="e">
        <f t="shared" si="2"/>
        <v>#DIV/0!</v>
      </c>
      <c r="FA135" s="6" t="e">
        <f t="shared" si="2"/>
        <v>#DIV/0!</v>
      </c>
      <c r="FB135" s="6" t="e">
        <f t="shared" si="2"/>
        <v>#DIV/0!</v>
      </c>
      <c r="FC135" s="6" t="e">
        <f t="shared" si="2"/>
        <v>#DIV/0!</v>
      </c>
      <c r="FD135" s="6" t="e">
        <f t="shared" si="2"/>
        <v>#DIV/0!</v>
      </c>
      <c r="FE135" s="6" t="e">
        <f t="shared" si="2"/>
        <v>#DIV/0!</v>
      </c>
      <c r="FF135" s="6" t="e">
        <f t="shared" si="2"/>
        <v>#DIV/0!</v>
      </c>
    </row>
    <row r="136" spans="1:162">
      <c r="A136" s="6"/>
      <c r="B136" s="6" t="e">
        <f>STDEV(B2:B133)</f>
        <v>#DIV/0!</v>
      </c>
      <c r="C136" s="6" t="e">
        <f t="shared" ref="C136:BN136" si="3">STDEV(C2:C133)</f>
        <v>#DIV/0!</v>
      </c>
      <c r="D136" s="6" t="e">
        <f t="shared" si="3"/>
        <v>#DIV/0!</v>
      </c>
      <c r="E136" s="6" t="e">
        <f t="shared" si="3"/>
        <v>#DIV/0!</v>
      </c>
      <c r="F136" s="6" t="e">
        <f t="shared" si="3"/>
        <v>#DIV/0!</v>
      </c>
      <c r="G136" s="6" t="e">
        <f t="shared" si="3"/>
        <v>#DIV/0!</v>
      </c>
      <c r="H136" s="6" t="e">
        <f t="shared" si="3"/>
        <v>#DIV/0!</v>
      </c>
      <c r="I136" s="6" t="e">
        <f t="shared" si="3"/>
        <v>#DIV/0!</v>
      </c>
      <c r="J136" s="6" t="e">
        <f t="shared" si="3"/>
        <v>#DIV/0!</v>
      </c>
      <c r="K136" s="6" t="e">
        <f t="shared" si="3"/>
        <v>#DIV/0!</v>
      </c>
      <c r="L136" s="6" t="e">
        <f t="shared" si="3"/>
        <v>#DIV/0!</v>
      </c>
      <c r="M136" s="6" t="e">
        <f t="shared" si="3"/>
        <v>#DIV/0!</v>
      </c>
      <c r="N136" s="6" t="e">
        <f t="shared" si="3"/>
        <v>#DIV/0!</v>
      </c>
      <c r="O136" s="6" t="e">
        <f t="shared" si="3"/>
        <v>#DIV/0!</v>
      </c>
      <c r="P136" s="6" t="e">
        <f t="shared" si="3"/>
        <v>#DIV/0!</v>
      </c>
      <c r="Q136" s="6" t="e">
        <f t="shared" si="3"/>
        <v>#DIV/0!</v>
      </c>
      <c r="R136" s="6" t="e">
        <f t="shared" si="3"/>
        <v>#DIV/0!</v>
      </c>
      <c r="S136" s="6" t="e">
        <f t="shared" si="3"/>
        <v>#DIV/0!</v>
      </c>
      <c r="T136" s="6" t="e">
        <f t="shared" si="3"/>
        <v>#DIV/0!</v>
      </c>
      <c r="U136" s="6" t="e">
        <f t="shared" si="3"/>
        <v>#DIV/0!</v>
      </c>
      <c r="V136" s="6" t="e">
        <f t="shared" si="3"/>
        <v>#DIV/0!</v>
      </c>
      <c r="W136" s="6" t="e">
        <f t="shared" si="3"/>
        <v>#DIV/0!</v>
      </c>
      <c r="X136" s="6" t="e">
        <f t="shared" si="3"/>
        <v>#DIV/0!</v>
      </c>
      <c r="Y136" s="6" t="e">
        <f t="shared" si="3"/>
        <v>#DIV/0!</v>
      </c>
      <c r="Z136" s="6" t="e">
        <f t="shared" si="3"/>
        <v>#DIV/0!</v>
      </c>
      <c r="AA136" s="6" t="e">
        <f t="shared" si="3"/>
        <v>#DIV/0!</v>
      </c>
      <c r="AB136" s="6" t="e">
        <f t="shared" si="3"/>
        <v>#DIV/0!</v>
      </c>
      <c r="AC136" s="6" t="e">
        <f t="shared" si="3"/>
        <v>#DIV/0!</v>
      </c>
      <c r="AD136" s="6" t="e">
        <f t="shared" si="3"/>
        <v>#DIV/0!</v>
      </c>
      <c r="AE136" s="6" t="e">
        <f t="shared" si="3"/>
        <v>#DIV/0!</v>
      </c>
      <c r="AF136" s="6" t="e">
        <f t="shared" si="3"/>
        <v>#DIV/0!</v>
      </c>
      <c r="AG136" s="6" t="e">
        <f t="shared" si="3"/>
        <v>#DIV/0!</v>
      </c>
      <c r="AH136" s="6" t="e">
        <f t="shared" si="3"/>
        <v>#DIV/0!</v>
      </c>
      <c r="AI136" s="6" t="e">
        <f t="shared" si="3"/>
        <v>#DIV/0!</v>
      </c>
      <c r="AJ136" s="6" t="e">
        <f t="shared" si="3"/>
        <v>#DIV/0!</v>
      </c>
      <c r="AK136" s="6" t="e">
        <f t="shared" si="3"/>
        <v>#DIV/0!</v>
      </c>
      <c r="AL136" s="6" t="e">
        <f t="shared" si="3"/>
        <v>#DIV/0!</v>
      </c>
      <c r="AM136" s="6" t="e">
        <f t="shared" si="3"/>
        <v>#DIV/0!</v>
      </c>
      <c r="AN136" s="6" t="e">
        <f t="shared" si="3"/>
        <v>#DIV/0!</v>
      </c>
      <c r="AO136" s="6" t="e">
        <f t="shared" si="3"/>
        <v>#DIV/0!</v>
      </c>
      <c r="AP136" s="6" t="e">
        <f t="shared" si="3"/>
        <v>#DIV/0!</v>
      </c>
      <c r="AQ136" s="6" t="e">
        <f t="shared" si="3"/>
        <v>#DIV/0!</v>
      </c>
      <c r="AR136" s="6" t="e">
        <f t="shared" si="3"/>
        <v>#DIV/0!</v>
      </c>
      <c r="AS136" s="6" t="e">
        <f t="shared" si="3"/>
        <v>#DIV/0!</v>
      </c>
      <c r="AT136" s="6" t="e">
        <f t="shared" si="3"/>
        <v>#DIV/0!</v>
      </c>
      <c r="AU136" s="6" t="e">
        <f t="shared" si="3"/>
        <v>#DIV/0!</v>
      </c>
      <c r="AV136" s="6" t="e">
        <f t="shared" si="3"/>
        <v>#DIV/0!</v>
      </c>
      <c r="AW136" s="6" t="e">
        <f t="shared" si="3"/>
        <v>#DIV/0!</v>
      </c>
      <c r="AX136" s="6" t="e">
        <f t="shared" si="3"/>
        <v>#DIV/0!</v>
      </c>
      <c r="AY136" s="6" t="e">
        <f t="shared" si="3"/>
        <v>#DIV/0!</v>
      </c>
      <c r="AZ136" s="6" t="e">
        <f t="shared" si="3"/>
        <v>#DIV/0!</v>
      </c>
      <c r="BA136" s="6" t="e">
        <f t="shared" si="3"/>
        <v>#DIV/0!</v>
      </c>
      <c r="BB136" s="6" t="e">
        <f t="shared" si="3"/>
        <v>#DIV/0!</v>
      </c>
      <c r="BC136" s="6" t="e">
        <f t="shared" si="3"/>
        <v>#DIV/0!</v>
      </c>
      <c r="BD136" s="6" t="e">
        <f t="shared" si="3"/>
        <v>#DIV/0!</v>
      </c>
      <c r="BE136" s="6" t="e">
        <f t="shared" si="3"/>
        <v>#DIV/0!</v>
      </c>
      <c r="BF136" s="6" t="e">
        <f t="shared" si="3"/>
        <v>#DIV/0!</v>
      </c>
      <c r="BG136" s="6" t="e">
        <f t="shared" si="3"/>
        <v>#DIV/0!</v>
      </c>
      <c r="BH136" s="6" t="e">
        <f t="shared" si="3"/>
        <v>#DIV/0!</v>
      </c>
      <c r="BI136" s="6" t="e">
        <f t="shared" si="3"/>
        <v>#DIV/0!</v>
      </c>
      <c r="BJ136" s="6" t="e">
        <f t="shared" si="3"/>
        <v>#DIV/0!</v>
      </c>
      <c r="BK136" s="6" t="e">
        <f t="shared" si="3"/>
        <v>#DIV/0!</v>
      </c>
      <c r="BL136" s="6" t="e">
        <f t="shared" si="3"/>
        <v>#DIV/0!</v>
      </c>
      <c r="BM136" s="6" t="e">
        <f t="shared" si="3"/>
        <v>#DIV/0!</v>
      </c>
      <c r="BN136" s="6" t="e">
        <f t="shared" si="3"/>
        <v>#DIV/0!</v>
      </c>
      <c r="BO136" s="6" t="e">
        <f t="shared" ref="BO136:DZ136" si="4">STDEV(BO2:BO133)</f>
        <v>#DIV/0!</v>
      </c>
      <c r="BP136" s="6" t="e">
        <f t="shared" si="4"/>
        <v>#DIV/0!</v>
      </c>
      <c r="BQ136" s="6" t="e">
        <f t="shared" si="4"/>
        <v>#DIV/0!</v>
      </c>
      <c r="BR136" s="6" t="e">
        <f t="shared" si="4"/>
        <v>#DIV/0!</v>
      </c>
      <c r="BS136" s="6" t="e">
        <f t="shared" si="4"/>
        <v>#DIV/0!</v>
      </c>
      <c r="BT136" s="6" t="e">
        <f t="shared" si="4"/>
        <v>#DIV/0!</v>
      </c>
      <c r="BU136" s="6" t="e">
        <f t="shared" si="4"/>
        <v>#DIV/0!</v>
      </c>
      <c r="BV136" s="6" t="e">
        <f t="shared" si="4"/>
        <v>#DIV/0!</v>
      </c>
      <c r="BW136" s="6" t="e">
        <f t="shared" si="4"/>
        <v>#DIV/0!</v>
      </c>
      <c r="BX136" s="6" t="e">
        <f t="shared" si="4"/>
        <v>#DIV/0!</v>
      </c>
      <c r="BY136" s="6" t="e">
        <f t="shared" si="4"/>
        <v>#DIV/0!</v>
      </c>
      <c r="BZ136" s="6" t="e">
        <f t="shared" si="4"/>
        <v>#DIV/0!</v>
      </c>
      <c r="CA136" s="6" t="e">
        <f t="shared" si="4"/>
        <v>#DIV/0!</v>
      </c>
      <c r="CB136" s="6" t="e">
        <f t="shared" si="4"/>
        <v>#DIV/0!</v>
      </c>
      <c r="CC136" s="6" t="e">
        <f t="shared" si="4"/>
        <v>#DIV/0!</v>
      </c>
      <c r="CD136" s="6" t="e">
        <f t="shared" si="4"/>
        <v>#DIV/0!</v>
      </c>
      <c r="CE136" s="6" t="e">
        <f t="shared" si="4"/>
        <v>#DIV/0!</v>
      </c>
      <c r="CF136" s="6" t="e">
        <f t="shared" si="4"/>
        <v>#DIV/0!</v>
      </c>
      <c r="CG136" s="6" t="e">
        <f t="shared" si="4"/>
        <v>#DIV/0!</v>
      </c>
      <c r="CH136" s="6" t="e">
        <f t="shared" si="4"/>
        <v>#DIV/0!</v>
      </c>
      <c r="CI136" s="6" t="e">
        <f t="shared" si="4"/>
        <v>#DIV/0!</v>
      </c>
      <c r="CJ136" s="6" t="e">
        <f t="shared" si="4"/>
        <v>#DIV/0!</v>
      </c>
      <c r="CK136" s="6" t="e">
        <f t="shared" si="4"/>
        <v>#DIV/0!</v>
      </c>
      <c r="CL136" s="6" t="e">
        <f t="shared" si="4"/>
        <v>#DIV/0!</v>
      </c>
      <c r="CM136" s="6" t="e">
        <f t="shared" si="4"/>
        <v>#DIV/0!</v>
      </c>
      <c r="CN136" s="6" t="e">
        <f t="shared" si="4"/>
        <v>#DIV/0!</v>
      </c>
      <c r="CO136" s="6" t="e">
        <f t="shared" si="4"/>
        <v>#DIV/0!</v>
      </c>
      <c r="CP136" s="6" t="e">
        <f t="shared" si="4"/>
        <v>#DIV/0!</v>
      </c>
      <c r="CQ136" s="6" t="e">
        <f t="shared" si="4"/>
        <v>#DIV/0!</v>
      </c>
      <c r="CR136" s="6" t="e">
        <f t="shared" si="4"/>
        <v>#DIV/0!</v>
      </c>
      <c r="CS136" s="6" t="e">
        <f t="shared" si="4"/>
        <v>#DIV/0!</v>
      </c>
      <c r="CT136" s="6" t="e">
        <f t="shared" si="4"/>
        <v>#DIV/0!</v>
      </c>
      <c r="CU136" s="6" t="e">
        <f t="shared" si="4"/>
        <v>#DIV/0!</v>
      </c>
      <c r="CV136" s="6" t="e">
        <f t="shared" si="4"/>
        <v>#DIV/0!</v>
      </c>
      <c r="CW136" s="6" t="e">
        <f t="shared" si="4"/>
        <v>#DIV/0!</v>
      </c>
      <c r="CX136" s="6" t="e">
        <f t="shared" si="4"/>
        <v>#DIV/0!</v>
      </c>
      <c r="CY136" s="6" t="e">
        <f t="shared" si="4"/>
        <v>#DIV/0!</v>
      </c>
      <c r="CZ136" s="6" t="e">
        <f t="shared" si="4"/>
        <v>#DIV/0!</v>
      </c>
      <c r="DA136" s="6" t="e">
        <f t="shared" si="4"/>
        <v>#DIV/0!</v>
      </c>
      <c r="DB136" s="6" t="e">
        <f t="shared" si="4"/>
        <v>#DIV/0!</v>
      </c>
      <c r="DC136" s="6" t="e">
        <f t="shared" si="4"/>
        <v>#DIV/0!</v>
      </c>
      <c r="DD136" s="6" t="e">
        <f t="shared" si="4"/>
        <v>#DIV/0!</v>
      </c>
      <c r="DE136" s="6" t="e">
        <f t="shared" si="4"/>
        <v>#DIV/0!</v>
      </c>
      <c r="DF136" s="6" t="e">
        <f t="shared" si="4"/>
        <v>#DIV/0!</v>
      </c>
      <c r="DG136" s="6" t="e">
        <f t="shared" si="4"/>
        <v>#DIV/0!</v>
      </c>
      <c r="DH136" s="6" t="e">
        <f t="shared" si="4"/>
        <v>#DIV/0!</v>
      </c>
      <c r="DI136" s="6" t="e">
        <f t="shared" si="4"/>
        <v>#DIV/0!</v>
      </c>
      <c r="DJ136" s="6" t="e">
        <f t="shared" si="4"/>
        <v>#DIV/0!</v>
      </c>
      <c r="DK136" s="6" t="e">
        <f t="shared" si="4"/>
        <v>#DIV/0!</v>
      </c>
      <c r="DL136" s="6" t="e">
        <f t="shared" si="4"/>
        <v>#DIV/0!</v>
      </c>
      <c r="DM136" s="6" t="e">
        <f t="shared" si="4"/>
        <v>#DIV/0!</v>
      </c>
      <c r="DN136" s="6" t="e">
        <f t="shared" si="4"/>
        <v>#DIV/0!</v>
      </c>
      <c r="DO136" s="6" t="e">
        <f t="shared" si="4"/>
        <v>#DIV/0!</v>
      </c>
      <c r="DP136" s="6" t="e">
        <f t="shared" si="4"/>
        <v>#DIV/0!</v>
      </c>
      <c r="DQ136" s="6" t="e">
        <f t="shared" si="4"/>
        <v>#DIV/0!</v>
      </c>
      <c r="DR136" s="6" t="e">
        <f t="shared" si="4"/>
        <v>#DIV/0!</v>
      </c>
      <c r="DS136" s="6" t="e">
        <f t="shared" si="4"/>
        <v>#DIV/0!</v>
      </c>
      <c r="DT136" s="6" t="e">
        <f t="shared" si="4"/>
        <v>#DIV/0!</v>
      </c>
      <c r="DU136" s="6" t="e">
        <f t="shared" si="4"/>
        <v>#DIV/0!</v>
      </c>
      <c r="DV136" s="6" t="e">
        <f t="shared" si="4"/>
        <v>#DIV/0!</v>
      </c>
      <c r="DW136" s="6" t="e">
        <f t="shared" si="4"/>
        <v>#DIV/0!</v>
      </c>
      <c r="DX136" s="6" t="e">
        <f t="shared" si="4"/>
        <v>#DIV/0!</v>
      </c>
      <c r="DY136" s="6" t="e">
        <f t="shared" si="4"/>
        <v>#DIV/0!</v>
      </c>
      <c r="DZ136" s="6" t="e">
        <f t="shared" si="4"/>
        <v>#DIV/0!</v>
      </c>
      <c r="EA136" s="6" t="e">
        <f t="shared" ref="EA136:FF136" si="5">STDEV(EA2:EA133)</f>
        <v>#DIV/0!</v>
      </c>
      <c r="EB136" s="6" t="e">
        <f t="shared" si="5"/>
        <v>#DIV/0!</v>
      </c>
      <c r="EC136" s="6" t="e">
        <f t="shared" si="5"/>
        <v>#DIV/0!</v>
      </c>
      <c r="ED136" s="6" t="e">
        <f t="shared" si="5"/>
        <v>#DIV/0!</v>
      </c>
      <c r="EE136" s="6" t="e">
        <f t="shared" si="5"/>
        <v>#DIV/0!</v>
      </c>
      <c r="EF136" s="6" t="e">
        <f t="shared" si="5"/>
        <v>#DIV/0!</v>
      </c>
      <c r="EG136" s="6" t="e">
        <f t="shared" si="5"/>
        <v>#DIV/0!</v>
      </c>
      <c r="EH136" s="6" t="e">
        <f t="shared" si="5"/>
        <v>#DIV/0!</v>
      </c>
      <c r="EI136" s="6" t="e">
        <f t="shared" si="5"/>
        <v>#DIV/0!</v>
      </c>
      <c r="EJ136" s="6" t="e">
        <f t="shared" si="5"/>
        <v>#DIV/0!</v>
      </c>
      <c r="EK136" s="6" t="e">
        <f t="shared" si="5"/>
        <v>#DIV/0!</v>
      </c>
      <c r="EL136" s="6" t="e">
        <f t="shared" si="5"/>
        <v>#DIV/0!</v>
      </c>
      <c r="EM136" s="6" t="e">
        <f t="shared" si="5"/>
        <v>#DIV/0!</v>
      </c>
      <c r="EN136" s="6" t="e">
        <f t="shared" si="5"/>
        <v>#DIV/0!</v>
      </c>
      <c r="EO136" s="6" t="e">
        <f t="shared" si="5"/>
        <v>#DIV/0!</v>
      </c>
      <c r="EP136" s="6" t="e">
        <f t="shared" si="5"/>
        <v>#DIV/0!</v>
      </c>
      <c r="EQ136" s="6" t="e">
        <f t="shared" si="5"/>
        <v>#DIV/0!</v>
      </c>
      <c r="ER136" s="6" t="e">
        <f t="shared" si="5"/>
        <v>#DIV/0!</v>
      </c>
      <c r="ES136" s="6" t="e">
        <f t="shared" si="5"/>
        <v>#DIV/0!</v>
      </c>
      <c r="ET136" s="6" t="e">
        <f t="shared" si="5"/>
        <v>#DIV/0!</v>
      </c>
      <c r="EU136" s="6" t="e">
        <f t="shared" si="5"/>
        <v>#DIV/0!</v>
      </c>
      <c r="EV136" s="6" t="e">
        <f t="shared" si="5"/>
        <v>#DIV/0!</v>
      </c>
      <c r="EW136" s="6" t="e">
        <f t="shared" si="5"/>
        <v>#DIV/0!</v>
      </c>
      <c r="EX136" s="6" t="e">
        <f t="shared" si="5"/>
        <v>#DIV/0!</v>
      </c>
      <c r="EY136" s="6" t="e">
        <f t="shared" si="5"/>
        <v>#DIV/0!</v>
      </c>
      <c r="EZ136" s="6" t="e">
        <f t="shared" si="5"/>
        <v>#DIV/0!</v>
      </c>
      <c r="FA136" s="6" t="e">
        <f t="shared" si="5"/>
        <v>#DIV/0!</v>
      </c>
      <c r="FB136" s="6" t="e">
        <f t="shared" si="5"/>
        <v>#DIV/0!</v>
      </c>
      <c r="FC136" s="6" t="e">
        <f t="shared" si="5"/>
        <v>#DIV/0!</v>
      </c>
      <c r="FD136" s="6" t="e">
        <f t="shared" si="5"/>
        <v>#DIV/0!</v>
      </c>
      <c r="FE136" s="6" t="e">
        <f t="shared" si="5"/>
        <v>#DIV/0!</v>
      </c>
      <c r="FF136" s="6" t="e">
        <f t="shared" si="5"/>
        <v>#DIV/0!</v>
      </c>
    </row>
    <row r="137" spans="1:162">
      <c r="A137" s="6"/>
      <c r="B137" s="6" t="e">
        <f>1.96*(B136/SQRT(COUNT(B2:B133)))</f>
        <v>#DIV/0!</v>
      </c>
      <c r="C137" s="6" t="e">
        <f t="shared" ref="C137:BN137" si="6">1.96*(C136/SQRT(COUNT(C2:C133)))</f>
        <v>#DIV/0!</v>
      </c>
      <c r="D137" s="6" t="e">
        <f t="shared" si="6"/>
        <v>#DIV/0!</v>
      </c>
      <c r="E137" s="6" t="e">
        <f t="shared" si="6"/>
        <v>#DIV/0!</v>
      </c>
      <c r="F137" s="6" t="e">
        <f t="shared" si="6"/>
        <v>#DIV/0!</v>
      </c>
      <c r="G137" s="6" t="e">
        <f t="shared" si="6"/>
        <v>#DIV/0!</v>
      </c>
      <c r="H137" s="6" t="e">
        <f t="shared" si="6"/>
        <v>#DIV/0!</v>
      </c>
      <c r="I137" s="6" t="e">
        <f t="shared" si="6"/>
        <v>#DIV/0!</v>
      </c>
      <c r="J137" s="6" t="e">
        <f t="shared" si="6"/>
        <v>#DIV/0!</v>
      </c>
      <c r="K137" s="6" t="e">
        <f t="shared" si="6"/>
        <v>#DIV/0!</v>
      </c>
      <c r="L137" s="6" t="e">
        <f t="shared" si="6"/>
        <v>#DIV/0!</v>
      </c>
      <c r="M137" s="6" t="e">
        <f t="shared" si="6"/>
        <v>#DIV/0!</v>
      </c>
      <c r="N137" s="6" t="e">
        <f t="shared" si="6"/>
        <v>#DIV/0!</v>
      </c>
      <c r="O137" s="6" t="e">
        <f t="shared" si="6"/>
        <v>#DIV/0!</v>
      </c>
      <c r="P137" s="6" t="e">
        <f t="shared" si="6"/>
        <v>#DIV/0!</v>
      </c>
      <c r="Q137" s="6" t="e">
        <f t="shared" si="6"/>
        <v>#DIV/0!</v>
      </c>
      <c r="R137" s="6" t="e">
        <f t="shared" si="6"/>
        <v>#DIV/0!</v>
      </c>
      <c r="S137" s="6" t="e">
        <f t="shared" si="6"/>
        <v>#DIV/0!</v>
      </c>
      <c r="T137" s="6" t="e">
        <f t="shared" si="6"/>
        <v>#DIV/0!</v>
      </c>
      <c r="U137" s="6" t="e">
        <f t="shared" si="6"/>
        <v>#DIV/0!</v>
      </c>
      <c r="V137" s="6" t="e">
        <f t="shared" si="6"/>
        <v>#DIV/0!</v>
      </c>
      <c r="W137" s="6" t="e">
        <f t="shared" si="6"/>
        <v>#DIV/0!</v>
      </c>
      <c r="X137" s="6" t="e">
        <f t="shared" si="6"/>
        <v>#DIV/0!</v>
      </c>
      <c r="Y137" s="6" t="e">
        <f t="shared" si="6"/>
        <v>#DIV/0!</v>
      </c>
      <c r="Z137" s="6" t="e">
        <f t="shared" si="6"/>
        <v>#DIV/0!</v>
      </c>
      <c r="AA137" s="6" t="e">
        <f t="shared" si="6"/>
        <v>#DIV/0!</v>
      </c>
      <c r="AB137" s="6" t="e">
        <f t="shared" si="6"/>
        <v>#DIV/0!</v>
      </c>
      <c r="AC137" s="6" t="e">
        <f t="shared" si="6"/>
        <v>#DIV/0!</v>
      </c>
      <c r="AD137" s="6" t="e">
        <f t="shared" si="6"/>
        <v>#DIV/0!</v>
      </c>
      <c r="AE137" s="6" t="e">
        <f t="shared" si="6"/>
        <v>#DIV/0!</v>
      </c>
      <c r="AF137" s="6" t="e">
        <f t="shared" si="6"/>
        <v>#DIV/0!</v>
      </c>
      <c r="AG137" s="6" t="e">
        <f t="shared" si="6"/>
        <v>#DIV/0!</v>
      </c>
      <c r="AH137" s="6" t="e">
        <f t="shared" si="6"/>
        <v>#DIV/0!</v>
      </c>
      <c r="AI137" s="6" t="e">
        <f t="shared" si="6"/>
        <v>#DIV/0!</v>
      </c>
      <c r="AJ137" s="6" t="e">
        <f t="shared" si="6"/>
        <v>#DIV/0!</v>
      </c>
      <c r="AK137" s="6" t="e">
        <f t="shared" si="6"/>
        <v>#DIV/0!</v>
      </c>
      <c r="AL137" s="6" t="e">
        <f t="shared" si="6"/>
        <v>#DIV/0!</v>
      </c>
      <c r="AM137" s="6" t="e">
        <f t="shared" si="6"/>
        <v>#DIV/0!</v>
      </c>
      <c r="AN137" s="6" t="e">
        <f t="shared" si="6"/>
        <v>#DIV/0!</v>
      </c>
      <c r="AO137" s="6" t="e">
        <f t="shared" si="6"/>
        <v>#DIV/0!</v>
      </c>
      <c r="AP137" s="6" t="e">
        <f t="shared" si="6"/>
        <v>#DIV/0!</v>
      </c>
      <c r="AQ137" s="6" t="e">
        <f t="shared" si="6"/>
        <v>#DIV/0!</v>
      </c>
      <c r="AR137" s="6" t="e">
        <f t="shared" si="6"/>
        <v>#DIV/0!</v>
      </c>
      <c r="AS137" s="6" t="e">
        <f t="shared" si="6"/>
        <v>#DIV/0!</v>
      </c>
      <c r="AT137" s="6" t="e">
        <f t="shared" si="6"/>
        <v>#DIV/0!</v>
      </c>
      <c r="AU137" s="6" t="e">
        <f t="shared" si="6"/>
        <v>#DIV/0!</v>
      </c>
      <c r="AV137" s="6" t="e">
        <f t="shared" si="6"/>
        <v>#DIV/0!</v>
      </c>
      <c r="AW137" s="6" t="e">
        <f t="shared" si="6"/>
        <v>#DIV/0!</v>
      </c>
      <c r="AX137" s="6" t="e">
        <f t="shared" si="6"/>
        <v>#DIV/0!</v>
      </c>
      <c r="AY137" s="6" t="e">
        <f t="shared" si="6"/>
        <v>#DIV/0!</v>
      </c>
      <c r="AZ137" s="6" t="e">
        <f t="shared" si="6"/>
        <v>#DIV/0!</v>
      </c>
      <c r="BA137" s="6" t="e">
        <f t="shared" si="6"/>
        <v>#DIV/0!</v>
      </c>
      <c r="BB137" s="6" t="e">
        <f t="shared" si="6"/>
        <v>#DIV/0!</v>
      </c>
      <c r="BC137" s="6" t="e">
        <f t="shared" si="6"/>
        <v>#DIV/0!</v>
      </c>
      <c r="BD137" s="6" t="e">
        <f t="shared" si="6"/>
        <v>#DIV/0!</v>
      </c>
      <c r="BE137" s="6" t="e">
        <f t="shared" si="6"/>
        <v>#DIV/0!</v>
      </c>
      <c r="BF137" s="6" t="e">
        <f t="shared" si="6"/>
        <v>#DIV/0!</v>
      </c>
      <c r="BG137" s="6" t="e">
        <f t="shared" si="6"/>
        <v>#DIV/0!</v>
      </c>
      <c r="BH137" s="6" t="e">
        <f t="shared" si="6"/>
        <v>#DIV/0!</v>
      </c>
      <c r="BI137" s="6" t="e">
        <f t="shared" si="6"/>
        <v>#DIV/0!</v>
      </c>
      <c r="BJ137" s="6" t="e">
        <f t="shared" si="6"/>
        <v>#DIV/0!</v>
      </c>
      <c r="BK137" s="6" t="e">
        <f t="shared" si="6"/>
        <v>#DIV/0!</v>
      </c>
      <c r="BL137" s="6" t="e">
        <f t="shared" si="6"/>
        <v>#DIV/0!</v>
      </c>
      <c r="BM137" s="6" t="e">
        <f t="shared" si="6"/>
        <v>#DIV/0!</v>
      </c>
      <c r="BN137" s="6" t="e">
        <f t="shared" si="6"/>
        <v>#DIV/0!</v>
      </c>
      <c r="BO137" s="6" t="e">
        <f t="shared" ref="BO137:DZ137" si="7">1.96*(BO136/SQRT(COUNT(BO2:BO133)))</f>
        <v>#DIV/0!</v>
      </c>
      <c r="BP137" s="6" t="e">
        <f t="shared" si="7"/>
        <v>#DIV/0!</v>
      </c>
      <c r="BQ137" s="6" t="e">
        <f t="shared" si="7"/>
        <v>#DIV/0!</v>
      </c>
      <c r="BR137" s="6" t="e">
        <f t="shared" si="7"/>
        <v>#DIV/0!</v>
      </c>
      <c r="BS137" s="6" t="e">
        <f t="shared" si="7"/>
        <v>#DIV/0!</v>
      </c>
      <c r="BT137" s="6" t="e">
        <f t="shared" si="7"/>
        <v>#DIV/0!</v>
      </c>
      <c r="BU137" s="6" t="e">
        <f t="shared" si="7"/>
        <v>#DIV/0!</v>
      </c>
      <c r="BV137" s="6" t="e">
        <f t="shared" si="7"/>
        <v>#DIV/0!</v>
      </c>
      <c r="BW137" s="6" t="e">
        <f t="shared" si="7"/>
        <v>#DIV/0!</v>
      </c>
      <c r="BX137" s="6" t="e">
        <f t="shared" si="7"/>
        <v>#DIV/0!</v>
      </c>
      <c r="BY137" s="6" t="e">
        <f t="shared" si="7"/>
        <v>#DIV/0!</v>
      </c>
      <c r="BZ137" s="6" t="e">
        <f t="shared" si="7"/>
        <v>#DIV/0!</v>
      </c>
      <c r="CA137" s="6" t="e">
        <f t="shared" si="7"/>
        <v>#DIV/0!</v>
      </c>
      <c r="CB137" s="6" t="e">
        <f t="shared" si="7"/>
        <v>#DIV/0!</v>
      </c>
      <c r="CC137" s="6" t="e">
        <f t="shared" si="7"/>
        <v>#DIV/0!</v>
      </c>
      <c r="CD137" s="6" t="e">
        <f t="shared" si="7"/>
        <v>#DIV/0!</v>
      </c>
      <c r="CE137" s="6" t="e">
        <f t="shared" si="7"/>
        <v>#DIV/0!</v>
      </c>
      <c r="CF137" s="6" t="e">
        <f t="shared" si="7"/>
        <v>#DIV/0!</v>
      </c>
      <c r="CG137" s="6" t="e">
        <f t="shared" si="7"/>
        <v>#DIV/0!</v>
      </c>
      <c r="CH137" s="6" t="e">
        <f t="shared" si="7"/>
        <v>#DIV/0!</v>
      </c>
      <c r="CI137" s="6" t="e">
        <f t="shared" si="7"/>
        <v>#DIV/0!</v>
      </c>
      <c r="CJ137" s="6" t="e">
        <f t="shared" si="7"/>
        <v>#DIV/0!</v>
      </c>
      <c r="CK137" s="6" t="e">
        <f t="shared" si="7"/>
        <v>#DIV/0!</v>
      </c>
      <c r="CL137" s="6" t="e">
        <f t="shared" si="7"/>
        <v>#DIV/0!</v>
      </c>
      <c r="CM137" s="6" t="e">
        <f t="shared" si="7"/>
        <v>#DIV/0!</v>
      </c>
      <c r="CN137" s="6" t="e">
        <f t="shared" si="7"/>
        <v>#DIV/0!</v>
      </c>
      <c r="CO137" s="6" t="e">
        <f t="shared" si="7"/>
        <v>#DIV/0!</v>
      </c>
      <c r="CP137" s="6" t="e">
        <f t="shared" si="7"/>
        <v>#DIV/0!</v>
      </c>
      <c r="CQ137" s="6" t="e">
        <f t="shared" si="7"/>
        <v>#DIV/0!</v>
      </c>
      <c r="CR137" s="6" t="e">
        <f t="shared" si="7"/>
        <v>#DIV/0!</v>
      </c>
      <c r="CS137" s="6" t="e">
        <f t="shared" si="7"/>
        <v>#DIV/0!</v>
      </c>
      <c r="CT137" s="6" t="e">
        <f t="shared" si="7"/>
        <v>#DIV/0!</v>
      </c>
      <c r="CU137" s="6" t="e">
        <f t="shared" si="7"/>
        <v>#DIV/0!</v>
      </c>
      <c r="CV137" s="6" t="e">
        <f t="shared" si="7"/>
        <v>#DIV/0!</v>
      </c>
      <c r="CW137" s="6" t="e">
        <f t="shared" si="7"/>
        <v>#DIV/0!</v>
      </c>
      <c r="CX137" s="6" t="e">
        <f t="shared" si="7"/>
        <v>#DIV/0!</v>
      </c>
      <c r="CY137" s="6" t="e">
        <f t="shared" si="7"/>
        <v>#DIV/0!</v>
      </c>
      <c r="CZ137" s="6" t="e">
        <f t="shared" si="7"/>
        <v>#DIV/0!</v>
      </c>
      <c r="DA137" s="6" t="e">
        <f t="shared" si="7"/>
        <v>#DIV/0!</v>
      </c>
      <c r="DB137" s="6" t="e">
        <f t="shared" si="7"/>
        <v>#DIV/0!</v>
      </c>
      <c r="DC137" s="6" t="e">
        <f t="shared" si="7"/>
        <v>#DIV/0!</v>
      </c>
      <c r="DD137" s="6" t="e">
        <f t="shared" si="7"/>
        <v>#DIV/0!</v>
      </c>
      <c r="DE137" s="6" t="e">
        <f t="shared" si="7"/>
        <v>#DIV/0!</v>
      </c>
      <c r="DF137" s="6" t="e">
        <f t="shared" si="7"/>
        <v>#DIV/0!</v>
      </c>
      <c r="DG137" s="6" t="e">
        <f t="shared" si="7"/>
        <v>#DIV/0!</v>
      </c>
      <c r="DH137" s="6" t="e">
        <f t="shared" si="7"/>
        <v>#DIV/0!</v>
      </c>
      <c r="DI137" s="6" t="e">
        <f t="shared" si="7"/>
        <v>#DIV/0!</v>
      </c>
      <c r="DJ137" s="6" t="e">
        <f t="shared" si="7"/>
        <v>#DIV/0!</v>
      </c>
      <c r="DK137" s="6" t="e">
        <f t="shared" si="7"/>
        <v>#DIV/0!</v>
      </c>
      <c r="DL137" s="6" t="e">
        <f t="shared" si="7"/>
        <v>#DIV/0!</v>
      </c>
      <c r="DM137" s="6" t="e">
        <f t="shared" si="7"/>
        <v>#DIV/0!</v>
      </c>
      <c r="DN137" s="6" t="e">
        <f t="shared" si="7"/>
        <v>#DIV/0!</v>
      </c>
      <c r="DO137" s="6" t="e">
        <f t="shared" si="7"/>
        <v>#DIV/0!</v>
      </c>
      <c r="DP137" s="6" t="e">
        <f t="shared" si="7"/>
        <v>#DIV/0!</v>
      </c>
      <c r="DQ137" s="6" t="e">
        <f t="shared" si="7"/>
        <v>#DIV/0!</v>
      </c>
      <c r="DR137" s="6" t="e">
        <f t="shared" si="7"/>
        <v>#DIV/0!</v>
      </c>
      <c r="DS137" s="6" t="e">
        <f t="shared" si="7"/>
        <v>#DIV/0!</v>
      </c>
      <c r="DT137" s="6" t="e">
        <f t="shared" si="7"/>
        <v>#DIV/0!</v>
      </c>
      <c r="DU137" s="6" t="e">
        <f t="shared" si="7"/>
        <v>#DIV/0!</v>
      </c>
      <c r="DV137" s="6" t="e">
        <f t="shared" si="7"/>
        <v>#DIV/0!</v>
      </c>
      <c r="DW137" s="6" t="e">
        <f t="shared" si="7"/>
        <v>#DIV/0!</v>
      </c>
      <c r="DX137" s="6" t="e">
        <f t="shared" si="7"/>
        <v>#DIV/0!</v>
      </c>
      <c r="DY137" s="6" t="e">
        <f t="shared" si="7"/>
        <v>#DIV/0!</v>
      </c>
      <c r="DZ137" s="6" t="e">
        <f t="shared" si="7"/>
        <v>#DIV/0!</v>
      </c>
      <c r="EA137" s="6" t="e">
        <f t="shared" ref="EA137:FF137" si="8">1.96*(EA136/SQRT(COUNT(EA2:EA133)))</f>
        <v>#DIV/0!</v>
      </c>
      <c r="EB137" s="6" t="e">
        <f t="shared" si="8"/>
        <v>#DIV/0!</v>
      </c>
      <c r="EC137" s="6" t="e">
        <f t="shared" si="8"/>
        <v>#DIV/0!</v>
      </c>
      <c r="ED137" s="6" t="e">
        <f t="shared" si="8"/>
        <v>#DIV/0!</v>
      </c>
      <c r="EE137" s="6" t="e">
        <f t="shared" si="8"/>
        <v>#DIV/0!</v>
      </c>
      <c r="EF137" s="6" t="e">
        <f t="shared" si="8"/>
        <v>#DIV/0!</v>
      </c>
      <c r="EG137" s="6" t="e">
        <f t="shared" si="8"/>
        <v>#DIV/0!</v>
      </c>
      <c r="EH137" s="6" t="e">
        <f t="shared" si="8"/>
        <v>#DIV/0!</v>
      </c>
      <c r="EI137" s="6" t="e">
        <f t="shared" si="8"/>
        <v>#DIV/0!</v>
      </c>
      <c r="EJ137" s="6" t="e">
        <f t="shared" si="8"/>
        <v>#DIV/0!</v>
      </c>
      <c r="EK137" s="6" t="e">
        <f t="shared" si="8"/>
        <v>#DIV/0!</v>
      </c>
      <c r="EL137" s="6" t="e">
        <f t="shared" si="8"/>
        <v>#DIV/0!</v>
      </c>
      <c r="EM137" s="6" t="e">
        <f t="shared" si="8"/>
        <v>#DIV/0!</v>
      </c>
      <c r="EN137" s="6" t="e">
        <f t="shared" si="8"/>
        <v>#DIV/0!</v>
      </c>
      <c r="EO137" s="6" t="e">
        <f t="shared" si="8"/>
        <v>#DIV/0!</v>
      </c>
      <c r="EP137" s="6" t="e">
        <f t="shared" si="8"/>
        <v>#DIV/0!</v>
      </c>
      <c r="EQ137" s="6" t="e">
        <f t="shared" si="8"/>
        <v>#DIV/0!</v>
      </c>
      <c r="ER137" s="6" t="e">
        <f t="shared" si="8"/>
        <v>#DIV/0!</v>
      </c>
      <c r="ES137" s="6" t="e">
        <f t="shared" si="8"/>
        <v>#DIV/0!</v>
      </c>
      <c r="ET137" s="6" t="e">
        <f t="shared" si="8"/>
        <v>#DIV/0!</v>
      </c>
      <c r="EU137" s="6" t="e">
        <f t="shared" si="8"/>
        <v>#DIV/0!</v>
      </c>
      <c r="EV137" s="6" t="e">
        <f t="shared" si="8"/>
        <v>#DIV/0!</v>
      </c>
      <c r="EW137" s="6" t="e">
        <f t="shared" si="8"/>
        <v>#DIV/0!</v>
      </c>
      <c r="EX137" s="6" t="e">
        <f t="shared" si="8"/>
        <v>#DIV/0!</v>
      </c>
      <c r="EY137" s="6" t="e">
        <f t="shared" si="8"/>
        <v>#DIV/0!</v>
      </c>
      <c r="EZ137" s="6" t="e">
        <f t="shared" si="8"/>
        <v>#DIV/0!</v>
      </c>
      <c r="FA137" s="6" t="e">
        <f t="shared" si="8"/>
        <v>#DIV/0!</v>
      </c>
      <c r="FB137" s="6" t="e">
        <f t="shared" si="8"/>
        <v>#DIV/0!</v>
      </c>
      <c r="FC137" s="6" t="e">
        <f t="shared" si="8"/>
        <v>#DIV/0!</v>
      </c>
      <c r="FD137" s="6" t="e">
        <f t="shared" si="8"/>
        <v>#DIV/0!</v>
      </c>
      <c r="FE137" s="6" t="e">
        <f t="shared" si="8"/>
        <v>#DIV/0!</v>
      </c>
      <c r="FF137" s="6" t="e">
        <f t="shared" si="8"/>
        <v>#DIV/0!</v>
      </c>
    </row>
    <row r="138" spans="1:162">
      <c r="A138" s="6" t="s">
        <v>0</v>
      </c>
      <c r="B138" s="6" t="e">
        <f>AVERAGE(A2:A133)</f>
        <v>#DIV/0!</v>
      </c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Review norm</vt:lpstr>
      <vt:lpstr>Review</vt:lpstr>
      <vt:lpstr>All HR</vt:lpstr>
      <vt:lpstr>&lt;280</vt:lpstr>
      <vt:lpstr>280-290</vt:lpstr>
      <vt:lpstr>290-300</vt:lpstr>
      <vt:lpstr>300-310</vt:lpstr>
      <vt:lpstr>310-320</vt:lpstr>
      <vt:lpstr>320-330</vt:lpstr>
      <vt:lpstr>330-340</vt:lpstr>
      <vt:lpstr>340-350</vt:lpstr>
      <vt:lpstr>350-360</vt:lpstr>
      <vt:lpstr>&gt;360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2009-11-19T00:49:12Z</dcterms:created>
  <dcterms:modified xsi:type="dcterms:W3CDTF">2009-11-27T13:58:58Z</dcterms:modified>
</cp:coreProperties>
</file>