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 activeTab="2"/>
  </bookViews>
  <sheets>
    <sheet name="Controller" sheetId="1" r:id="rId1"/>
    <sheet name="Output template" sheetId="106" r:id="rId2"/>
    <sheet name="123_1164 Electrical" sheetId="270" r:id="rId3"/>
    <sheet name="123_1164 Acoustic" sheetId="269" r:id="rId4"/>
    <sheet name="112_1024 Electrical" sheetId="268" r:id="rId5"/>
    <sheet name="112_1024 Acoustic" sheetId="267" r:id="rId6"/>
    <sheet name="111_142 Acoustic" sheetId="266" r:id="rId7"/>
    <sheet name="111_141 Acoustic" sheetId="265" r:id="rId8"/>
    <sheet name="111_140 Electrical" sheetId="264" r:id="rId9"/>
    <sheet name="111_140 Acoustic" sheetId="263" r:id="rId10"/>
  </sheets>
  <functionGroups/>
  <calcPr calcId="124519"/>
</workbook>
</file>

<file path=xl/calcChain.xml><?xml version="1.0" encoding="utf-8"?>
<calcChain xmlns="http://schemas.openxmlformats.org/spreadsheetml/2006/main">
  <c r="B504" i="270"/>
  <c r="B485"/>
  <c r="B466"/>
  <c r="B443"/>
  <c r="B420"/>
  <c r="B408"/>
  <c r="B401"/>
  <c r="B382"/>
  <c r="B363"/>
  <c r="B344"/>
  <c r="B325"/>
  <c r="B306"/>
  <c r="B287"/>
  <c r="B268"/>
  <c r="B245"/>
  <c r="B226"/>
  <c r="B207"/>
  <c r="B194"/>
  <c r="D184"/>
  <c r="B176"/>
  <c r="B162"/>
  <c r="B159"/>
  <c r="B151"/>
  <c r="B145"/>
  <c r="B122"/>
  <c r="B99"/>
  <c r="B76"/>
  <c r="B61"/>
  <c r="B57"/>
  <c r="B38"/>
  <c r="B24"/>
  <c r="B19"/>
  <c r="B888" i="269"/>
  <c r="B871"/>
  <c r="B854"/>
  <c r="B837"/>
  <c r="B820"/>
  <c r="B803"/>
  <c r="B786"/>
  <c r="B767"/>
  <c r="B754"/>
  <c r="D753"/>
  <c r="B748"/>
  <c r="B729"/>
  <c r="B716"/>
  <c r="B710"/>
  <c r="B691"/>
  <c r="B676"/>
  <c r="B672"/>
  <c r="B655"/>
  <c r="B638"/>
  <c r="B621"/>
  <c r="B604"/>
  <c r="B587"/>
  <c r="B570"/>
  <c r="B553"/>
  <c r="B540"/>
  <c r="B536"/>
  <c r="B518"/>
  <c r="B505"/>
  <c r="B474"/>
  <c r="B455"/>
  <c r="B436"/>
  <c r="B413"/>
  <c r="B407"/>
  <c r="D392"/>
  <c r="D391"/>
  <c r="C391"/>
  <c r="B389"/>
  <c r="D387"/>
  <c r="B385"/>
  <c r="B378"/>
  <c r="B355"/>
  <c r="B332"/>
  <c r="B311"/>
  <c r="B290"/>
  <c r="B273"/>
  <c r="B269"/>
  <c r="C268"/>
  <c r="B261"/>
  <c r="B244"/>
  <c r="B241"/>
  <c r="B232"/>
  <c r="B211"/>
  <c r="B196"/>
  <c r="B190"/>
  <c r="C175"/>
  <c r="B157"/>
  <c r="D129"/>
  <c r="B124"/>
  <c r="B101"/>
  <c r="B91"/>
  <c r="B78"/>
  <c r="B76"/>
  <c r="D68"/>
  <c r="B58"/>
  <c r="B45"/>
  <c r="B34"/>
  <c r="B29"/>
  <c r="B14"/>
  <c r="B13"/>
  <c r="B12"/>
  <c r="B10"/>
  <c r="D9"/>
  <c r="D8"/>
  <c r="B8"/>
  <c r="B6"/>
  <c r="B4"/>
  <c r="B426" i="268"/>
  <c r="B409"/>
  <c r="B405"/>
  <c r="B384"/>
  <c r="B359"/>
  <c r="B340"/>
  <c r="B321"/>
  <c r="B296"/>
  <c r="D281"/>
  <c r="C281"/>
  <c r="B271"/>
  <c r="B246"/>
  <c r="B231"/>
  <c r="B223"/>
  <c r="B192"/>
  <c r="B180"/>
  <c r="B169"/>
  <c r="B138"/>
  <c r="B115"/>
  <c r="B92"/>
  <c r="B76"/>
  <c r="B69"/>
  <c r="B52"/>
  <c r="D51"/>
  <c r="C51"/>
  <c r="B46"/>
  <c r="B23"/>
  <c r="B7"/>
  <c r="B1082" i="267"/>
  <c r="B1065"/>
  <c r="B1048"/>
  <c r="B1031"/>
  <c r="B1014"/>
  <c r="B997"/>
  <c r="B980"/>
  <c r="D954"/>
  <c r="B954"/>
  <c r="B950"/>
  <c r="B933"/>
  <c r="B920"/>
  <c r="B916"/>
  <c r="B899"/>
  <c r="B882"/>
  <c r="B865"/>
  <c r="B848"/>
  <c r="B831"/>
  <c r="B814"/>
  <c r="B797"/>
  <c r="B780"/>
  <c r="B763"/>
  <c r="B746"/>
  <c r="B729"/>
  <c r="B712"/>
  <c r="B695"/>
  <c r="B682"/>
  <c r="B678"/>
  <c r="B659"/>
  <c r="B645"/>
  <c r="B640"/>
  <c r="B621"/>
  <c r="B602"/>
  <c r="C586"/>
  <c r="B586"/>
  <c r="D583"/>
  <c r="C583"/>
  <c r="B579"/>
  <c r="D566"/>
  <c r="C566"/>
  <c r="B556"/>
  <c r="B530"/>
  <c r="D525"/>
  <c r="C525"/>
  <c r="B509"/>
  <c r="B491"/>
  <c r="B486"/>
  <c r="B474"/>
  <c r="D471"/>
  <c r="B470"/>
  <c r="B466"/>
  <c r="B462"/>
  <c r="B443"/>
  <c r="B424"/>
  <c r="B405"/>
  <c r="B386"/>
  <c r="B367"/>
  <c r="B348"/>
  <c r="B329"/>
  <c r="B310"/>
  <c r="B291"/>
  <c r="B272"/>
  <c r="B253"/>
  <c r="B234"/>
  <c r="B197"/>
  <c r="B183"/>
  <c r="B180"/>
  <c r="B168"/>
  <c r="B160"/>
  <c r="B137"/>
  <c r="B114"/>
  <c r="D99"/>
  <c r="C99"/>
  <c r="B95"/>
  <c r="B76"/>
  <c r="B57"/>
  <c r="B38"/>
  <c r="B19"/>
  <c r="B6"/>
  <c r="B4"/>
  <c r="B372" i="266"/>
  <c r="D360"/>
  <c r="C360"/>
  <c r="B341"/>
  <c r="B317"/>
  <c r="B310"/>
  <c r="C291"/>
  <c r="B291"/>
  <c r="B287"/>
  <c r="B279"/>
  <c r="B248"/>
  <c r="B217"/>
  <c r="B186"/>
  <c r="D169"/>
  <c r="C169"/>
  <c r="B155"/>
  <c r="B124"/>
  <c r="B93"/>
  <c r="B62"/>
  <c r="C48"/>
  <c r="B41"/>
  <c r="B31"/>
  <c r="B16"/>
  <c r="B12"/>
  <c r="B8"/>
  <c r="B4"/>
  <c r="D327" i="265"/>
  <c r="B327"/>
  <c r="D325"/>
  <c r="B321"/>
  <c r="B309"/>
  <c r="D306"/>
  <c r="B305"/>
  <c r="D304"/>
  <c r="B304"/>
  <c r="C301"/>
  <c r="B301"/>
  <c r="D298"/>
  <c r="B294"/>
  <c r="B282"/>
  <c r="D281"/>
  <c r="B281"/>
  <c r="D280"/>
  <c r="D279"/>
  <c r="B278"/>
  <c r="D277"/>
  <c r="B275"/>
  <c r="C274"/>
  <c r="B271"/>
  <c r="B267"/>
  <c r="B253"/>
  <c r="C251"/>
  <c r="B251"/>
  <c r="D246"/>
  <c r="B246"/>
  <c r="B245"/>
  <c r="B244"/>
  <c r="B240"/>
  <c r="B228"/>
  <c r="B226"/>
  <c r="C225"/>
  <c r="B225"/>
  <c r="B224"/>
  <c r="B222"/>
  <c r="B220"/>
  <c r="D218"/>
  <c r="C218"/>
  <c r="D217"/>
  <c r="B217"/>
  <c r="B213"/>
  <c r="D201"/>
  <c r="B193"/>
  <c r="D192"/>
  <c r="D191"/>
  <c r="B191"/>
  <c r="D190"/>
  <c r="B190"/>
  <c r="B186"/>
  <c r="D174"/>
  <c r="B174"/>
  <c r="B168"/>
  <c r="D166"/>
  <c r="C166"/>
  <c r="B166"/>
  <c r="D165"/>
  <c r="B164"/>
  <c r="D163"/>
  <c r="C163"/>
  <c r="B163"/>
  <c r="B159"/>
  <c r="B147"/>
  <c r="B144"/>
  <c r="B143"/>
  <c r="B141"/>
  <c r="B138"/>
  <c r="B132"/>
  <c r="B118"/>
  <c r="B114"/>
  <c r="D113"/>
  <c r="C113"/>
  <c r="D111"/>
  <c r="B105"/>
  <c r="D93"/>
  <c r="C93"/>
  <c r="B93"/>
  <c r="B92"/>
  <c r="B91"/>
  <c r="D90"/>
  <c r="D89"/>
  <c r="B89"/>
  <c r="B84"/>
  <c r="D83"/>
  <c r="B78"/>
  <c r="C65"/>
  <c r="B65"/>
  <c r="B62"/>
  <c r="B61"/>
  <c r="B60"/>
  <c r="D59"/>
  <c r="B51"/>
  <c r="D38"/>
  <c r="B38"/>
  <c r="B36"/>
  <c r="B34"/>
  <c r="B33"/>
  <c r="D32"/>
  <c r="C32"/>
  <c r="C31"/>
  <c r="B31"/>
  <c r="B24"/>
  <c r="B9"/>
  <c r="B8"/>
  <c r="B4"/>
  <c r="B426" i="264"/>
  <c r="B407"/>
  <c r="B388"/>
  <c r="B369"/>
  <c r="B350"/>
  <c r="B331"/>
  <c r="B312"/>
  <c r="D297"/>
  <c r="B289"/>
  <c r="B273"/>
  <c r="B246"/>
  <c r="B234"/>
  <c r="B207"/>
  <c r="D206"/>
  <c r="C206"/>
  <c r="D205"/>
  <c r="C205"/>
  <c r="B185"/>
  <c r="C141"/>
  <c r="B140"/>
  <c r="B135"/>
  <c r="B117"/>
  <c r="D103"/>
  <c r="C103"/>
  <c r="B90"/>
  <c r="D83"/>
  <c r="B74"/>
  <c r="D45"/>
  <c r="C44"/>
  <c r="B44"/>
  <c r="D43"/>
  <c r="C43"/>
  <c r="B43"/>
  <c r="B42"/>
  <c r="B29"/>
  <c r="B1548" i="263"/>
  <c r="B1531"/>
  <c r="B1514"/>
  <c r="B1497"/>
  <c r="B1480"/>
  <c r="B1463"/>
  <c r="B1446"/>
  <c r="B1429"/>
  <c r="B1412"/>
  <c r="B1395"/>
  <c r="B1378"/>
  <c r="B1361"/>
  <c r="B1348"/>
  <c r="B1344"/>
  <c r="B1327"/>
  <c r="B1310"/>
  <c r="B1293"/>
  <c r="B1276"/>
  <c r="B1263"/>
  <c r="B1259"/>
  <c r="B1242"/>
  <c r="B1225"/>
  <c r="B1213"/>
  <c r="B1208"/>
  <c r="B1195"/>
  <c r="B1191"/>
  <c r="B1174"/>
  <c r="B1157"/>
  <c r="D1131"/>
  <c r="C1131"/>
  <c r="B1127"/>
  <c r="B1110"/>
  <c r="B1093"/>
  <c r="B1076"/>
  <c r="B1059"/>
  <c r="B1042"/>
  <c r="B1025"/>
  <c r="B1008"/>
  <c r="D982"/>
  <c r="B978"/>
  <c r="B961"/>
  <c r="B948"/>
  <c r="B944"/>
  <c r="B927"/>
  <c r="B910"/>
  <c r="B893"/>
  <c r="B876"/>
  <c r="B859"/>
  <c r="B842"/>
  <c r="B825"/>
  <c r="B808"/>
  <c r="B796"/>
  <c r="B791"/>
  <c r="B774"/>
  <c r="B757"/>
  <c r="B744"/>
  <c r="B740"/>
  <c r="B711"/>
  <c r="B693"/>
  <c r="D659"/>
  <c r="B652"/>
  <c r="B627"/>
  <c r="B615"/>
  <c r="B590"/>
  <c r="B580"/>
  <c r="B578"/>
  <c r="B575"/>
  <c r="C572"/>
  <c r="C569"/>
  <c r="B569"/>
  <c r="B566"/>
  <c r="D560"/>
  <c r="C560"/>
  <c r="B559"/>
  <c r="B556"/>
  <c r="B555"/>
  <c r="B554"/>
  <c r="B552"/>
  <c r="B542"/>
  <c r="B530"/>
  <c r="B518"/>
  <c r="B511"/>
  <c r="D509"/>
  <c r="C509"/>
  <c r="B509"/>
  <c r="B506"/>
  <c r="B494"/>
  <c r="B478"/>
  <c r="B460"/>
  <c r="B442"/>
  <c r="C430"/>
  <c r="B424"/>
  <c r="B406"/>
  <c r="B393"/>
  <c r="B388"/>
  <c r="B376"/>
  <c r="B371"/>
  <c r="D370"/>
  <c r="B369"/>
  <c r="B357"/>
  <c r="D341"/>
  <c r="B334"/>
  <c r="B331"/>
  <c r="B330"/>
  <c r="B326"/>
  <c r="B312"/>
  <c r="C301"/>
  <c r="B301"/>
  <c r="B299"/>
  <c r="B295"/>
  <c r="B282"/>
  <c r="B280"/>
  <c r="B278"/>
  <c r="B275"/>
  <c r="D272"/>
  <c r="B264"/>
  <c r="B250"/>
  <c r="D249"/>
  <c r="C249"/>
  <c r="B246"/>
  <c r="B243"/>
  <c r="B233"/>
  <c r="C218"/>
  <c r="B215"/>
  <c r="D214"/>
  <c r="B208"/>
  <c r="B207"/>
  <c r="B202"/>
  <c r="B182"/>
  <c r="B170"/>
  <c r="B155"/>
  <c r="B151"/>
  <c r="C150"/>
  <c r="B150"/>
  <c r="D149"/>
  <c r="C149"/>
  <c r="D148"/>
  <c r="C148"/>
  <c r="B148"/>
  <c r="D144"/>
  <c r="B136"/>
  <c r="C120"/>
  <c r="B118"/>
  <c r="B114"/>
  <c r="B102"/>
  <c r="B87"/>
  <c r="D86"/>
  <c r="B82"/>
  <c r="B75"/>
  <c r="B74"/>
  <c r="B68"/>
  <c r="B53"/>
  <c r="B52"/>
  <c r="B51"/>
  <c r="B50"/>
  <c r="B49"/>
  <c r="D48"/>
  <c r="B48"/>
  <c r="B47"/>
  <c r="B39"/>
  <c r="B34"/>
  <c r="B21"/>
  <c r="B20"/>
  <c r="B16"/>
  <c r="D15"/>
  <c r="B15"/>
  <c r="C14"/>
  <c r="B12"/>
  <c r="B8"/>
  <c r="B4"/>
</calcChain>
</file>

<file path=xl/sharedStrings.xml><?xml version="1.0" encoding="utf-8"?>
<sst xmlns="http://schemas.openxmlformats.org/spreadsheetml/2006/main" count="6638" uniqueCount="1898">
  <si>
    <t>Exclusion parameters:</t>
  </si>
  <si>
    <t>(permanent) HR = -1 (i.e. could not be detected)</t>
  </si>
  <si>
    <t>interpolation count greater than:</t>
  </si>
  <si>
    <t>number of interpolated beats greater than:</t>
  </si>
  <si>
    <t>(number; or -1 to ignore)</t>
  </si>
  <si>
    <t>longest interpolated segment is greater than (samples):</t>
  </si>
  <si>
    <t>longest interpolated number of beats is greater than:</t>
  </si>
  <si>
    <t>Date</t>
  </si>
  <si>
    <t>HR 10-30s</t>
  </si>
  <si>
    <t>HR -4s-0s</t>
  </si>
  <si>
    <t>HR 5s-9s</t>
  </si>
  <si>
    <t>HR 10-30s exclusion reason</t>
  </si>
  <si>
    <t>HR -4s-0s exclusion reason</t>
  </si>
  <si>
    <t>HR 5s-9s exclusion reason</t>
  </si>
  <si>
    <t>First trial</t>
  </si>
  <si>
    <t>Too many interpolations (4&gt;3)</t>
  </si>
  <si>
    <t>Too many interpolations (14&gt;3)</t>
  </si>
  <si>
    <t>HR not detectable (-1)</t>
  </si>
  <si>
    <t>N included:</t>
  </si>
  <si>
    <t>Mean change:</t>
  </si>
  <si>
    <t>Variance:</t>
  </si>
  <si>
    <t>T-statistic:</t>
  </si>
  <si>
    <t>P-value:</t>
  </si>
  <si>
    <t>Standard Deviation:</t>
  </si>
  <si>
    <t>Std. Error of Mean:</t>
  </si>
  <si>
    <t>Include both Acoustic and Electrical on one sheet?</t>
  </si>
  <si>
    <t>Acoustic Trials</t>
  </si>
  <si>
    <t>Highlight p &lt; .05 with style</t>
  </si>
  <si>
    <t>Highlight p &lt; .10 with style</t>
  </si>
  <si>
    <t>Too many interpolations (5&gt;3)</t>
  </si>
  <si>
    <t>Too many interpolations (25&gt;3)</t>
  </si>
  <si>
    <t>Longest interpolation too long (1638&gt;1500)</t>
  </si>
  <si>
    <t>Too many interpolated beats (8.12842771876035&gt;6)</t>
  </si>
  <si>
    <t>Too many interpolated beats (7.50410366455234&gt;6)</t>
  </si>
  <si>
    <t>Too many interpolated beats (6.04878242421116&gt;6)</t>
  </si>
  <si>
    <t>Too many interpolations (13&gt;3)</t>
  </si>
  <si>
    <t>Too many interpolations (10&gt;3)</t>
  </si>
  <si>
    <t>Longest interpolation too long (1975&gt;1500)</t>
  </si>
  <si>
    <t>Longest interpolation too long (4205&gt;1500)</t>
  </si>
  <si>
    <t>Longest interpolation too long (2816&gt;1500)</t>
  </si>
  <si>
    <t>Too many interpolations (7&gt;3)</t>
  </si>
  <si>
    <t>Additional stats could not be calculated (N=1)</t>
  </si>
  <si>
    <t>Too many interpolations (11&gt;3)</t>
  </si>
  <si>
    <t>Too many interpolations (9&gt;3)</t>
  </si>
  <si>
    <t>Too many interpolations (22&gt;3)</t>
  </si>
  <si>
    <t>Longest interpolation too long (2240&gt;1500)</t>
  </si>
  <si>
    <t>Too many interpolations (8&gt;3)</t>
  </si>
  <si>
    <t>Too many interpolations (26&gt;3)</t>
  </si>
  <si>
    <t>Too many interpolated beats (7.99187817258883&gt;6)</t>
  </si>
  <si>
    <t>Too many interpolations (6&gt;3)</t>
  </si>
  <si>
    <t>Too many interpolated beats (6.60016577661215&gt;6)</t>
  </si>
  <si>
    <t>Too many interpolations (63&gt;3)</t>
  </si>
  <si>
    <t>Longest interpolation too long (3663&gt;1500)</t>
  </si>
  <si>
    <t>Too many interpolations (53&gt;3)</t>
  </si>
  <si>
    <t>Too many interpolated beats (8.30585291646786&gt;6)</t>
  </si>
  <si>
    <t>Too many interpolations (12&gt;3)</t>
  </si>
  <si>
    <t>Too many interpolated beats (7.44411035701088&gt;6)</t>
  </si>
  <si>
    <t>Too many interpolated beats (6.75843200150951&gt;6)</t>
  </si>
  <si>
    <t>Too many interpolated beats (6.71450846247173&gt;6)</t>
  </si>
  <si>
    <t>Longest interpolation too many beats (3.35730858468677&gt;3)</t>
  </si>
  <si>
    <t>Longest interpolation too long (1904&gt;1500)</t>
  </si>
  <si>
    <t>Longest interpolation too long (3673&gt;1500)</t>
  </si>
  <si>
    <t>Too many interpolations (15&gt;3)</t>
  </si>
  <si>
    <t>Longest interpolation too long (2464&gt;1500)</t>
  </si>
  <si>
    <t>Electrical Trials</t>
  </si>
  <si>
    <t>20 ref 31 @ 400Hz (20uA to 30uA), 18 ref 32 @ 400Hz (20uA to 30uA)</t>
  </si>
  <si>
    <t>Longest interpolation too long (1712&gt;1500)</t>
  </si>
  <si>
    <t>Too many interpolated beats (8.73562512401123&gt;6)</t>
  </si>
  <si>
    <t>20 ref 31 @ 100Hz (20uA to 30uA), 18 ref 32 @ 100Hz (20uA to 30uA)</t>
  </si>
  <si>
    <t>Longest interpolation too long (1528&gt;1500)</t>
  </si>
  <si>
    <t>Too many interpolations (40&gt;3)</t>
  </si>
  <si>
    <t>Longest interpolation too long (3304&gt;1500)</t>
  </si>
  <si>
    <t>Longest interpolation too long (3218&gt;1500)</t>
  </si>
  <si>
    <t>20 ref 31 @ 400Hz (10uA to 20uA), 18 ref 32 @ 400Hz (10uA to 20uA)</t>
  </si>
  <si>
    <t>20 ref 31 @ 100Hz (10uA to 20uA), 18 ref 32 @ 100Hz (10uA to 20uA)</t>
  </si>
  <si>
    <t>32 ref 7 @ 800Hz (20uA to 30uA), 32 ref 7 @ 100Hz (20uA to 30uA)</t>
  </si>
  <si>
    <t>32 ref 18 @ 800Hz (20uA to 30uA), 32 ref 18 @ 100Hz (20uA to 30uA)</t>
  </si>
  <si>
    <t>32 ref 18 @ 800Hz (30uA to 40uA), 32 ref 18 @ 100Hz (30uA to 40uA)</t>
  </si>
  <si>
    <t>32 ref 7 @ 800Hz (20uA to 30uA), 32 ref 7 @ 400Hz (20uA to 30uA)</t>
  </si>
  <si>
    <t>32 ref 18 @ 400Hz (30uA to 40uA), 18 ref 32 @ 800Hz (30uA to 40uA)</t>
  </si>
  <si>
    <t>Too many interpolations (18&gt;3)</t>
  </si>
  <si>
    <t>Longest interpolation too long (3157&gt;1500)</t>
  </si>
  <si>
    <t>Longest interpolation too long (2224&gt;1500)</t>
  </si>
  <si>
    <t>Longest interpolation too long (2962&gt;1500)</t>
  </si>
  <si>
    <t>Too many interpolations (28&gt;3)</t>
  </si>
  <si>
    <t>Too many interpolations (73&gt;3)</t>
  </si>
  <si>
    <t>Too many interpolations (19&gt;3)</t>
  </si>
  <si>
    <t>Too many interpolations (66&gt;3)</t>
  </si>
  <si>
    <t>Too many interpolations (57&gt;3)</t>
  </si>
  <si>
    <t>Too many interpolations (38&gt;3)</t>
  </si>
  <si>
    <t>Too many interpolations (72&gt;3)</t>
  </si>
  <si>
    <t>Longest interpolation too long (2231&gt;1500)</t>
  </si>
  <si>
    <t>Too many interpolations (70&gt;3)</t>
  </si>
  <si>
    <t>Longest interpolation too long (1517&gt;1500)</t>
  </si>
  <si>
    <t>Too many interpolations (20&gt;3)</t>
  </si>
  <si>
    <t>Too many interpolations (21&gt;3)</t>
  </si>
  <si>
    <t>Longest interpolation too long (1516&gt;1500)</t>
  </si>
  <si>
    <t>Too many interpolations (16&gt;3)</t>
  </si>
  <si>
    <t>Too many interpolations (64&gt;3)</t>
  </si>
  <si>
    <t>Too many interpolations (31&gt;3)</t>
  </si>
  <si>
    <t>Too many interpolations (67&gt;3)</t>
  </si>
  <si>
    <t>Too many interpolations (90&gt;3)</t>
  </si>
  <si>
    <t>Too many interpolations (94&gt;3)</t>
  </si>
  <si>
    <t>Longest interpolation too long (1821&gt;1500)</t>
  </si>
  <si>
    <t>Too many interpolations (81&gt;3)</t>
  </si>
  <si>
    <t>Too many interpolations (46&gt;3)</t>
  </si>
  <si>
    <t>Too many interpolations (17&gt;3)</t>
  </si>
  <si>
    <t>Too many interpolations (43&gt;3)</t>
  </si>
  <si>
    <t>Too many interpolated beats (7.14314115308151&gt;6)</t>
  </si>
  <si>
    <t>Too many interpolations (34&gt;3)</t>
  </si>
  <si>
    <t>Too many interpolations (69&gt;3)</t>
  </si>
  <si>
    <t>Too many interpolated beats (9.38316670541735&gt;6)</t>
  </si>
  <si>
    <t>Too many interpolated beats (18.6308068459658&gt;6)</t>
  </si>
  <si>
    <t>Too many interpolated beats (7.30325377478401&gt;6)</t>
  </si>
  <si>
    <t>Longest interpolation too long (2629&gt;1500)</t>
  </si>
  <si>
    <t>Too many interpolated beats (6.00425051918809&gt;6)</t>
  </si>
  <si>
    <t>Too many interpolated beats (9.90744613977942&gt;6)</t>
  </si>
  <si>
    <t>32 ref 18 @ 400Hz (20uA to 30uA), 4 ref 12 @ 400Hz (20uA to 30uA)</t>
  </si>
  <si>
    <t>20 ref 28 @ 400Hz (20uA to 30uA), 16 ref 7 @ 400Hz (20uA to 30uA)</t>
  </si>
  <si>
    <t>32 ref 18 @ 400Hz (20uA to 30uA), 20 ref 28 @ 400Hz (20uA to 30uA)</t>
  </si>
  <si>
    <t>4 ref 12 @ 400Hz (20uA to 30uA), 16 ref 7 @ 400Hz (20uA to 30uA)</t>
  </si>
  <si>
    <t>32 ref 18 @ 400Hz (20uA to 30uA), 16 ref 7 @ 400Hz (20uA to 30uA)</t>
  </si>
  <si>
    <t>30 ref 19 @ 400Hz (20uA to 30uA), 4 ref 12 @ 400Hz (20uA to 30uA)</t>
  </si>
  <si>
    <t>0* ref 0* @ 400Hz (0uA to 0uA), 0* ref 0* @ 400Hz (0uA to 0uA)</t>
  </si>
  <si>
    <t>4 ref 12 @ 400Hz (10uA to 20uA), 16 ref 7 @ 400Hz (10uA to 20uA)</t>
  </si>
  <si>
    <t>4 ref 12 @ 400Hz (30uA to 40uA), 16 ref 7 @ 400Hz (30uA to 40uA)</t>
  </si>
  <si>
    <t>4 ref 12 @ 800Hz (10uA to 20uA), 16 ref 7 @ 800Hz (10uA to 20uA)</t>
  </si>
  <si>
    <t>16 ref 32 @ 400Hz (20uA to 30uA), 13 ref 7* @ 400Hz (20uA to 30uA)</t>
  </si>
  <si>
    <t>16 ref 32 @ 400Hz (30uA to 40uA), 13 ref 7* @ 400Hz (30uA to 40uA)</t>
  </si>
  <si>
    <t>16 ref 32 @ 800Hz (20uA to 30uA), 13 ref 7* @ 800Hz (20uA to 30uA)</t>
  </si>
  <si>
    <t>16 ref 32 @ 800Hz (20uA to 30uA), 13 ref 7* @ 400Hz (20uA to 30uA)</t>
  </si>
  <si>
    <t>16 ref 32 @ 800Hz (30uA to 40uA), 13 ref 7* @ 800Hz (30uA to 40uA)</t>
  </si>
  <si>
    <t>16 ref 32 @ 100Hz (30uA to 40uA), 13 ref 7* @ 100Hz (30uA to 40uA)</t>
  </si>
  <si>
    <t>16 ref 32 @ 400Hz (7uA to 15uA), 13 ref 7* @ 400Hz (7uA to 15uA)</t>
  </si>
  <si>
    <t>16 ref 32 @ 800Hz (7uA to 15uA), 13 ref 7* @ 800Hz (7uA to 15uA)</t>
  </si>
  <si>
    <t>40000Hz (63.24dB to 73.24dB), 3000Hz (65.42dB to 75.42dB)</t>
  </si>
  <si>
    <t>37000Hz (58.32dB to 68.32dB), 6000Hz (68.19dB to 78.19dB)</t>
  </si>
  <si>
    <t>40000Hz (63.24dB to 73.24dB), 12000Hz (67.63dB to 77.63dB)</t>
  </si>
  <si>
    <t>37000Hz (58.32dB to 68.32dB), 3000Hz (65.42dB to 75.42dB)</t>
  </si>
  <si>
    <t>40000Hz (63.24dB to 73.24dB), 17000Hz (81.87dB to 91.87dB)</t>
  </si>
  <si>
    <t>37000Hz (58.32dB to 68.32dB), 21000Hz (70.93dB to 80.93dB)</t>
  </si>
  <si>
    <t>40000Hz (63.24dB to 73.24dB), 22000Hz (68.56dB to 78.56dB)</t>
  </si>
  <si>
    <t>37000Hz (58.32dB to 68.32dB), 17000Hz (81.87dB to 91.87dB)</t>
  </si>
  <si>
    <t>40000Hz (63.24dB to 73.24dB), 21000Hz (70.93dB to 80.93dB)</t>
  </si>
  <si>
    <t>37000Hz (58.32dB to 68.32dB), 22000Hz (68.56dB to 78.56dB)</t>
  </si>
  <si>
    <t>Longest interpolation too long (2261&gt;1500)</t>
  </si>
  <si>
    <t>Too many interpolated beats (6.71500386628339&gt;6)</t>
  </si>
  <si>
    <t>Too many interpolated beats (6.01287470818859&gt;6)</t>
  </si>
  <si>
    <t>Too many interpolated beats (12.6144448354692&gt;6)</t>
  </si>
  <si>
    <t>Longest interpolation too long (1728&gt;1500)</t>
  </si>
  <si>
    <t>Longest interpolation too long (1530&gt;1500)</t>
  </si>
  <si>
    <t>Too many interpolations (24&gt;3)</t>
  </si>
  <si>
    <t>Longest interpolation too long (1581&gt;1500)</t>
  </si>
  <si>
    <t>20 ref 31 @ 400Hz (20uA to 30uA), 18 ref 32 @ 100Hz (20uA to 30uA)</t>
  </si>
  <si>
    <t>20 ref 31 @ 100Hz (20uA to 30uA), 18 ref 32 @ 400Hz (20uA to 30uA)</t>
  </si>
  <si>
    <t>20 ref 31 @ 400Hz (20uA to 30uA), 20 ref 31 @ 100Hz (20uA to 30uA)</t>
  </si>
  <si>
    <t>26 ref 23 @ 400Hz (20uA to 30uA), 12 ref 4 @ 400Hz (20uA to 30uA)</t>
  </si>
  <si>
    <t>26 ref 23 @ 100Hz (20uA to 30uA), 12 ref 4 @ 100Hz (20uA to 30uA)</t>
  </si>
  <si>
    <t>26 ref 23 @ 100Hz (20uA to 30uA), 12 ref 4 @ 400Hz (20uA to 30uA)</t>
  </si>
  <si>
    <t>26 ref 23 @ 400Hz (20uA to 30uA), 12 ref 4 @ 100Hz (20uA to 30uA)</t>
  </si>
  <si>
    <t>26 ref 6* @ 100Hz (30uA to 40uA), 12 ref 4 @ 100Hz (30uA to 40uA)</t>
  </si>
  <si>
    <t>26 ref 6* @ 100Hz (30uA to 40uA), 12 ref 4 @ 400Hz (30uA to 40uA)</t>
  </si>
  <si>
    <t>26 ref 6* @ 400Hz (30uA to 40uA), 12 ref 4 @ 100Hz (30uA to 40uA)</t>
  </si>
  <si>
    <t>0* ref 0* @ 400Hz (0uA to 0uA), 0* ref 0* @ 100Hz (0uA to 0uA)</t>
  </si>
  <si>
    <t>Too many interpolations (80&gt;3)</t>
  </si>
  <si>
    <t>13 ref 6* @ 800Hz (20uA to 30uA), 13 ref 6* @ 100Hz (20uA to 30uA)</t>
  </si>
  <si>
    <t>13 ref 6* @ 800Hz (30uA to 40uA), 13 ref 6* @ 100Hz (30uA to 40uA)</t>
  </si>
  <si>
    <t>13 ref 6* @ 400Hz (20uA to 30uA), 13 ref 6* @ 100Hz (20uA to 30uA)</t>
  </si>
  <si>
    <t>13 ref 6* @ 800Hz (30uA to 40uA), 13 ref 6* @ 400Hz (30uA to 40uA)</t>
  </si>
  <si>
    <t>2009-07-21 Auditory continuous 10s with 0.60mA footshock Trial1</t>
  </si>
  <si>
    <t>2009-07-21 Auditory continuous 10s with 0.60mA footshock Trial2</t>
  </si>
  <si>
    <t>2009-07-21 Auditory continuous 10s with 0.60mA footshock Trial3</t>
  </si>
  <si>
    <t>2009-07-21 Auditory continuous 10s with 0.60mA footshock Trial4</t>
  </si>
  <si>
    <t>2009-07-23 Auditory continuous 10s with 0.60mA footshock Trial1</t>
  </si>
  <si>
    <t>2009-07-23 Auditory continuous 10s with 0.60mA footshock Trial2</t>
  </si>
  <si>
    <t>2009-07-23 Auditory continuous 10s with 0.60mA footshock Trial3</t>
  </si>
  <si>
    <t>2009-07-23 Auditory continuous 10s with 0.60mA footshock Trial4</t>
  </si>
  <si>
    <t>2009-07-27 Auditory continuous 10s with 0.60mA footshock Trial1</t>
  </si>
  <si>
    <t>2009-07-27 Auditory continuous 10s with 0.60mA footshock Trial2</t>
  </si>
  <si>
    <t>2009-07-27 Auditory continuous 10s with 0.60mA footshock Trial3</t>
  </si>
  <si>
    <t>2009-07-27 Auditory continuous 10s with 0.60mA footshock Trial4</t>
  </si>
  <si>
    <t>2009-08-05 Auditory continuous 10s with 0.60mA footshock Trial1</t>
  </si>
  <si>
    <t>2009-08-05 Auditory continuous 10s with 0.60mA footshock Trial2</t>
  </si>
  <si>
    <t>2009-08-05 Auditory continuous 10s with 0.60mA footshock Trial3</t>
  </si>
  <si>
    <t>2009-08-05 Auditory continuous 10s with 0.60mA footshock Trial4</t>
  </si>
  <si>
    <t>2009-08-07 (problem tank) Electrical continuous 10s with 0.60mA footshock Trial1</t>
  </si>
  <si>
    <t>2009-08-07 (problem tank) Electrical continuous 10s with 0.60mA footshock Trial5</t>
  </si>
  <si>
    <t>2009-09-14 Reconditioning continuous 10s with 0.60mA footshock Trial25</t>
  </si>
  <si>
    <t>2009-09-14 Reconditioning continuous 10s with 0.60mA footshock Trial26</t>
  </si>
  <si>
    <t>2009-09-14 Reconditioning continuous 10s with 0.60mA footshock Trial27</t>
  </si>
  <si>
    <t>2009-09-14 Reconditioning continuous 10s with 0.60mA footshock Trial28</t>
  </si>
  <si>
    <t>HR decrease trials:</t>
  </si>
  <si>
    <t>HR increase trials:</t>
  </si>
  <si>
    <t>% decrease trials:</t>
  </si>
  <si>
    <t>2009-07-21 Auditory continuous 10s with 0.60mA footshock Trial5</t>
  </si>
  <si>
    <t>2009-07-21 Auditory continuous 10s with 0.60mA footshock Trial6</t>
  </si>
  <si>
    <t>2009-07-21 Auditory continuous 10s with 0.60mA footshock Trial7</t>
  </si>
  <si>
    <t>2009-07-21 Auditory continuous 10s with 0.60mA footshock Trial8</t>
  </si>
  <si>
    <t>2009-07-23 Auditory continuous 10s with 0.60mA footshock Trial5</t>
  </si>
  <si>
    <t>2009-07-23 Auditory continuous 10s with 0.60mA footshock Trial6</t>
  </si>
  <si>
    <t>2009-07-23 Auditory continuous 10s with 0.60mA footshock Trial7</t>
  </si>
  <si>
    <t>2009-07-23 Auditory continuous 10s with 0.60mA footshock Trial8</t>
  </si>
  <si>
    <t>2009-07-27 Auditory continuous 10s with 0.60mA footshock Trial5</t>
  </si>
  <si>
    <t>2009-07-27 Auditory continuous 10s with 0.60mA footshock Trial6</t>
  </si>
  <si>
    <t>2009-07-27 Auditory continuous 10s with 0.60mA footshock Trial7</t>
  </si>
  <si>
    <t>2009-07-27 Auditory continuous 10s with 0.60mA footshock Trial8</t>
  </si>
  <si>
    <t>2009-08-05 Auditory continuous 10s with 0.60mA footshock Trial5</t>
  </si>
  <si>
    <t>2009-08-05 Auditory continuous 10s with 0.60mA footshock Trial6</t>
  </si>
  <si>
    <t>2009-08-05 Auditory continuous 10s with 0.60mA footshock Trial7</t>
  </si>
  <si>
    <t>2009-08-05 Auditory continuous 10s with 0.60mA footshock Trial8</t>
  </si>
  <si>
    <t>2009-08-07 (problem tank) Electrical continuous 10s with 0.60mA footshock Trial9</t>
  </si>
  <si>
    <t>2009-08-07 (problem tank) Electrical continuous 10s with 0.60mA footshock Trial11</t>
  </si>
  <si>
    <t>2009-09-14 Reconditioning continuous 10s with 0.60mA footshock Trial29</t>
  </si>
  <si>
    <t>2009-09-14 Reconditioning continuous 10s with 0.60mA footshock Trial30</t>
  </si>
  <si>
    <t>2009-09-14 Reconditioning continuous 10s with 0.60mA footshock Trial31</t>
  </si>
  <si>
    <t>2009-09-14 Reconditioning continuous 10s with 0.60mA footshock Trial32</t>
  </si>
  <si>
    <t>2009-07-21 Auditory continuous 10s with 0.60mA footshock Trial9</t>
  </si>
  <si>
    <t>2009-07-21 Auditory continuous 10s with 0.60mA footshock Trial10</t>
  </si>
  <si>
    <t>2009-07-21 Auditory continuous 10s with 0.60mA footshock Trial11</t>
  </si>
  <si>
    <t>2009-07-21 Auditory continuous 10s with 0.60mA footshock Trial12</t>
  </si>
  <si>
    <t>2009-07-23 Auditory continuous 10s with 0.60mA footshock Trial9</t>
  </si>
  <si>
    <t>2009-07-23 Auditory continuous 10s with 0.60mA footshock Trial10</t>
  </si>
  <si>
    <t>2009-07-23 Auditory continuous 10s with 0.60mA footshock Trial11</t>
  </si>
  <si>
    <t>2009-07-23 Auditory continuous 10s with 0.60mA footshock Trial12</t>
  </si>
  <si>
    <t>2009-07-27 Auditory continuous 10s with 0.60mA footshock Trial9</t>
  </si>
  <si>
    <t>2009-07-27 Auditory continuous 10s with 0.60mA footshock Trial10</t>
  </si>
  <si>
    <t>2009-07-27 Auditory continuous 10s with 0.60mA footshock Trial11</t>
  </si>
  <si>
    <t>2009-07-27 Auditory continuous 10s with 0.60mA footshock Trial12</t>
  </si>
  <si>
    <t>2009-08-05 Auditory continuous 10s with 0.60mA footshock Trial9</t>
  </si>
  <si>
    <t>2009-08-05 Auditory continuous 10s with 0.60mA footshock Trial10</t>
  </si>
  <si>
    <t>2009-08-05 Auditory continuous 10s with 0.60mA footshock Trial11</t>
  </si>
  <si>
    <t>2009-08-05 Auditory continuous 10s with 0.60mA footshock Trial12</t>
  </si>
  <si>
    <t>2009-08-07 (problem tank) Electrical continuous 10s with 0.60mA footshock Trial17</t>
  </si>
  <si>
    <t>2009-08-07 (problem tank) Electrical continuous 10s with 0.60mA footshock Trial23</t>
  </si>
  <si>
    <t>2009-09-14 Reconditioning continuous 10s with 0.60mA footshock Trial33</t>
  </si>
  <si>
    <t>2009-09-14 Reconditioning continuous 10s with 0.60mA footshock Trial34</t>
  </si>
  <si>
    <t>2009-09-14 Reconditioning continuous 10s with 0.60mA footshock Trial35</t>
  </si>
  <si>
    <t>2009-09-14 Reconditioning continuous 10s with 0.60mA footshock Trial36</t>
  </si>
  <si>
    <t>2009-07-21 Auditory continuous 10s with 0.60mA footshock Trial13</t>
  </si>
  <si>
    <t>2009-07-21 Auditory continuous 10s with 0.60mA footshock Trial14</t>
  </si>
  <si>
    <t>2009-07-21 Auditory continuous 10s with 0.60mA footshock Trial15</t>
  </si>
  <si>
    <t>2009-07-21 Auditory continuous 10s with 0.60mA footshock Trial16</t>
  </si>
  <si>
    <t>2009-07-23 Auditory continuous 10s with 0.60mA footshock Trial13</t>
  </si>
  <si>
    <t>2009-07-23 Auditory continuous 10s with 0.60mA footshock Trial14</t>
  </si>
  <si>
    <t>2009-07-23 Auditory continuous 10s with 0.60mA footshock Trial15</t>
  </si>
  <si>
    <t>2009-07-23 Auditory continuous 10s with 0.60mA footshock Trial16</t>
  </si>
  <si>
    <t>2009-07-27 Auditory continuous 10s with 0.60mA footshock Trial13</t>
  </si>
  <si>
    <t>2009-07-27 Auditory continuous 10s with 0.60mA footshock Trial14</t>
  </si>
  <si>
    <t>2009-07-27 Auditory continuous 10s with 0.60mA footshock Trial15</t>
  </si>
  <si>
    <t>2009-07-27 Auditory continuous 10s with 0.60mA footshock Trial16</t>
  </si>
  <si>
    <t>2009-08-05 Auditory continuous 10s with 0.60mA footshock Trial13</t>
  </si>
  <si>
    <t>2009-08-05 Auditory continuous 10s with 0.60mA footshock Trial14</t>
  </si>
  <si>
    <t>2009-08-05 Auditory continuous 10s with 0.60mA footshock Trial15</t>
  </si>
  <si>
    <t>2009-08-05 Auditory continuous 10s with 0.60mA footshock Trial16</t>
  </si>
  <si>
    <t>2009-08-07 (problem tank) Electrical continuous 10s with 0.60mA footshock Trial25</t>
  </si>
  <si>
    <t>2009-08-07 (problem tank) Electrical continuous 10s with 0.60mA footshock Trial31</t>
  </si>
  <si>
    <t>2009-09-14 Reconditioning continuous 10s with 0.60mA footshock Trial37</t>
  </si>
  <si>
    <t>2009-09-14 Reconditioning continuous 10s with 0.60mA footshock Trial38</t>
  </si>
  <si>
    <t>2009-09-14 Reconditioning continuous 10s with 0.60mA footshock Trial39</t>
  </si>
  <si>
    <t>2009-09-14 Reconditioning continuous 10s with 0.60mA footshock Trial40</t>
  </si>
  <si>
    <t>2009-07-21 Auditory continuous 10s with 0.60mA footshock Trial17</t>
  </si>
  <si>
    <t>2009-07-21 Auditory continuous 10s with 0.60mA footshock Trial18</t>
  </si>
  <si>
    <t>2009-07-21 Auditory continuous 10s with 0.60mA footshock Trial19</t>
  </si>
  <si>
    <t>2009-07-21 Auditory continuous 10s with 0.60mA footshock Trial20</t>
  </si>
  <si>
    <t>2009-07-23 Auditory continuous 10s with 0.60mA footshock Trial17</t>
  </si>
  <si>
    <t>2009-07-23 Auditory continuous 10s with 0.60mA footshock Trial18</t>
  </si>
  <si>
    <t>2009-07-23 Auditory continuous 10s with 0.60mA footshock Trial19</t>
  </si>
  <si>
    <t>2009-07-23 Auditory continuous 10s with 0.60mA footshock Trial20</t>
  </si>
  <si>
    <t>2009-07-27 Auditory continuous 10s with 0.60mA footshock Trial17</t>
  </si>
  <si>
    <t>2009-07-27 Auditory continuous 10s with 0.60mA footshock Trial18</t>
  </si>
  <si>
    <t>2009-07-27 Auditory continuous 10s with 0.60mA footshock Trial19</t>
  </si>
  <si>
    <t>2009-07-27 Auditory continuous 10s with 0.60mA footshock Trial20</t>
  </si>
  <si>
    <t>2009-08-05 Auditory continuous 10s with 0.60mA footshock Trial17</t>
  </si>
  <si>
    <t>2009-08-05 Auditory continuous 10s with 0.60mA footshock Trial18</t>
  </si>
  <si>
    <t>2009-08-05 Auditory continuous 10s with 0.60mA footshock Trial19</t>
  </si>
  <si>
    <t>2009-08-05 Auditory continuous 10s with 0.60mA footshock Trial20</t>
  </si>
  <si>
    <t>2009-08-07 (problem tank) Electrical continuous 10s with 0.60mA footshock Trial33</t>
  </si>
  <si>
    <t>2009-08-07 (problem tank) Electrical continuous 10s with 0.60mA footshock Trial40</t>
  </si>
  <si>
    <t>2009-09-14 Reconditioning continuous 10s with 0.60mA footshock Trial41</t>
  </si>
  <si>
    <t>2009-09-14 Reconditioning continuous 10s with 0.60mA footshock Trial42</t>
  </si>
  <si>
    <t>2009-09-14 Reconditioning continuous 10s with 0.60mA footshock Trial43</t>
  </si>
  <si>
    <t>2009-09-14 Reconditioning continuous 10s with 0.60mA footshock Trial44</t>
  </si>
  <si>
    <t>2009-07-21 Auditory continuous 10s with 0.60mA footshock Trial21</t>
  </si>
  <si>
    <t>2009-07-21 Auditory continuous 10s with 0.60mA footshock Trial22</t>
  </si>
  <si>
    <t>2009-07-21 Auditory continuous 10s with 0.60mA footshock Trial23</t>
  </si>
  <si>
    <t>2009-07-21 Auditory continuous 10s with 0.60mA footshock Trial24</t>
  </si>
  <si>
    <t>2009-07-23 Auditory continuous 10s with 0.60mA footshock Trial21</t>
  </si>
  <si>
    <t>2009-07-23 Auditory continuous 10s with 0.60mA footshock Trial22</t>
  </si>
  <si>
    <t>2009-07-23 Auditory continuous 10s with 0.60mA footshock Trial23</t>
  </si>
  <si>
    <t>2009-07-23 Auditory continuous 10s with 0.60mA footshock Trial24</t>
  </si>
  <si>
    <t>2009-07-27 Auditory continuous 10s with 0.60mA footshock Trial21</t>
  </si>
  <si>
    <t>2009-07-27 Auditory continuous 10s with 0.60mA footshock Trial22</t>
  </si>
  <si>
    <t>2009-07-27 Auditory continuous 10s with 0.60mA footshock Trial23</t>
  </si>
  <si>
    <t>2009-07-27 Auditory continuous 10s with 0.60mA footshock Trial24</t>
  </si>
  <si>
    <t>2009-08-05 Auditory continuous 10s with 0.60mA footshock Trial21</t>
  </si>
  <si>
    <t>2009-08-05 Auditory continuous 10s with 0.60mA footshock Trial22</t>
  </si>
  <si>
    <t>2009-08-05 Auditory continuous 10s with 0.60mA footshock Trial23</t>
  </si>
  <si>
    <t>2009-08-05 Auditory continuous 10s with 0.60mA footshock Trial24</t>
  </si>
  <si>
    <t>2009-08-07 (problem tank) Electrical continuous 10s with 0.60mA footshock Trial41</t>
  </si>
  <si>
    <t>2009-08-07 (problem tank) Electrical continuous 10s with 0.60mA footshock Trial44</t>
  </si>
  <si>
    <t>2009-07-21 Auditory continuous 10s with 0.60mA footshock Trial25</t>
  </si>
  <si>
    <t>2009-07-21 Auditory continuous 10s with 0.60mA footshock Trial26</t>
  </si>
  <si>
    <t>2009-07-21 Auditory continuous 10s with 0.60mA footshock Trial27</t>
  </si>
  <si>
    <t>2009-07-21 Auditory continuous 10s with 0.60mA footshock Trial28</t>
  </si>
  <si>
    <t>2009-07-23 Auditory continuous 10s with 0.60mA footshock Trial25</t>
  </si>
  <si>
    <t>2009-07-23 Auditory continuous 10s with 0.60mA footshock Trial26</t>
  </si>
  <si>
    <t>2009-07-23 Auditory continuous 10s with 0.60mA footshock Trial27</t>
  </si>
  <si>
    <t>2009-07-23 Auditory continuous 10s with 0.60mA footshock Trial28</t>
  </si>
  <si>
    <t>2009-07-27 Auditory continuous 10s with 0.60mA footshock Trial25</t>
  </si>
  <si>
    <t>2009-07-27 Auditory continuous 10s with 0.60mA footshock Trial26</t>
  </si>
  <si>
    <t>2009-07-27 Auditory continuous 10s with 0.60mA footshock Trial27</t>
  </si>
  <si>
    <t>2009-07-27 Auditory continuous 10s with 0.60mA footshock Trial28</t>
  </si>
  <si>
    <t>2009-08-05 Auditory continuous 10s with 0.60mA footshock Trial25</t>
  </si>
  <si>
    <t>2009-08-05 Auditory continuous 10s with 0.60mA footshock Trial26</t>
  </si>
  <si>
    <t>2009-08-05 Auditory continuous 10s with 0.60mA footshock Trial27</t>
  </si>
  <si>
    <t>2009-08-05 Auditory continuous 10s with 0.60mA footshock Trial28</t>
  </si>
  <si>
    <t>2009-07-21 Auditory continuous 10s with 0.60mA footshock Trial29</t>
  </si>
  <si>
    <t>2009-07-21 Auditory continuous 10s with 0.60mA footshock Trial30</t>
  </si>
  <si>
    <t>2009-07-21 Auditory continuous 10s with 0.60mA footshock Trial31</t>
  </si>
  <si>
    <t>2009-07-21 Auditory continuous 10s with 0.60mA footshock Trial32</t>
  </si>
  <si>
    <t>2009-07-23 Auditory continuous 10s with 0.60mA footshock Trial29</t>
  </si>
  <si>
    <t>2009-07-23 Auditory continuous 10s with 0.60mA footshock Trial30</t>
  </si>
  <si>
    <t>2009-07-23 Auditory continuous 10s with 0.60mA footshock Trial31</t>
  </si>
  <si>
    <t>2009-07-23 Auditory continuous 10s with 0.60mA footshock Trial32</t>
  </si>
  <si>
    <t>2009-07-27 Auditory continuous 10s with 0.60mA footshock Trial29</t>
  </si>
  <si>
    <t>2009-07-27 Auditory continuous 10s with 0.60mA footshock Trial30</t>
  </si>
  <si>
    <t>2009-07-27 Auditory continuous 10s with 0.60mA footshock Trial31</t>
  </si>
  <si>
    <t>2009-07-27 Auditory continuous 10s with 0.60mA footshock Trial32</t>
  </si>
  <si>
    <t>2009-08-05 Auditory continuous 10s with 0.60mA footshock Trial29</t>
  </si>
  <si>
    <t>2009-08-05 Auditory continuous 10s with 0.60mA footshock Trial30</t>
  </si>
  <si>
    <t>2009-08-05 Auditory continuous 10s with 0.60mA footshock Trial31</t>
  </si>
  <si>
    <t>2009-08-05 Auditory continuous 10s with 0.60mA footshock Trial32</t>
  </si>
  <si>
    <t>2009-07-21 Auditory continuous 10s with 0.60mA footshock Trial33</t>
  </si>
  <si>
    <t>2009-07-21 Auditory continuous 10s with 0.60mA footshock Trial34</t>
  </si>
  <si>
    <t>2009-07-21 Auditory continuous 10s with 0.60mA footshock Trial35</t>
  </si>
  <si>
    <t>2009-07-21 Auditory continuous 10s with 0.60mA footshock Trial36</t>
  </si>
  <si>
    <t>2009-07-23 Auditory continuous 10s with 0.60mA footshock Trial33</t>
  </si>
  <si>
    <t>2009-07-23 Auditory continuous 10s with 0.60mA footshock Trial34</t>
  </si>
  <si>
    <t>2009-07-23 Auditory continuous 10s with 0.60mA footshock Trial35</t>
  </si>
  <si>
    <t>2009-07-23 Auditory continuous 10s with 0.60mA footshock Trial36</t>
  </si>
  <si>
    <t>2009-07-27 Auditory continuous 10s with 0.60mA footshock Trial33</t>
  </si>
  <si>
    <t>2009-07-27 Auditory continuous 10s with 0.60mA footshock Trial34</t>
  </si>
  <si>
    <t>2009-07-27 Auditory continuous 10s with 0.60mA footshock Trial35</t>
  </si>
  <si>
    <t>2009-07-27 Auditory continuous 10s with 0.60mA footshock Trial36</t>
  </si>
  <si>
    <t>2009-08-05 Auditory continuous 10s with 0.60mA footshock Trial33</t>
  </si>
  <si>
    <t>2009-08-05 Auditory continuous 10s with 0.60mA footshock Trial34</t>
  </si>
  <si>
    <t>2009-08-05 Auditory continuous 10s with 0.60mA footshock Trial35</t>
  </si>
  <si>
    <t>2009-08-05 Auditory continuous 10s with 0.60mA footshock Trial36</t>
  </si>
  <si>
    <t>2009-07-21 Auditory continuous 10s with 0.60mA footshock Trial37</t>
  </si>
  <si>
    <t>2009-07-21 Auditory continuous 10s with 0.60mA footshock Trial38</t>
  </si>
  <si>
    <t>2009-07-21 Auditory continuous 10s with 0.60mA footshock Trial39</t>
  </si>
  <si>
    <t>2009-07-21 Auditory continuous 10s with 0.60mA footshock Trial40</t>
  </si>
  <si>
    <t>2009-07-23 Auditory continuous 10s with 0.60mA footshock Trial37</t>
  </si>
  <si>
    <t>2009-07-23 Auditory continuous 10s with 0.60mA footshock Trial38</t>
  </si>
  <si>
    <t>2009-07-23 Auditory continuous 10s with 0.60mA footshock Trial39</t>
  </si>
  <si>
    <t>2009-07-23 Auditory continuous 10s with 0.60mA footshock Trial40</t>
  </si>
  <si>
    <t>2009-07-27 Auditory continuous 10s with 0.60mA footshock Trial37</t>
  </si>
  <si>
    <t>2009-07-27 Auditory continuous 10s with 0.60mA footshock Trial38</t>
  </si>
  <si>
    <t>2009-07-27 Auditory continuous 10s with 0.60mA footshock Trial39</t>
  </si>
  <si>
    <t>2009-07-27 Auditory continuous 10s with 0.60mA footshock Trial40</t>
  </si>
  <si>
    <t>2009-08-05 Auditory continuous 10s with 0.60mA footshock Trial37</t>
  </si>
  <si>
    <t>2009-08-05 Auditory continuous 10s with 0.60mA footshock Trial38</t>
  </si>
  <si>
    <t>2009-08-05 Auditory continuous 10s with 0.60mA footshock Trial39</t>
  </si>
  <si>
    <t>2009-08-05 Auditory continuous 10s with 0.60mA footshock Trial40</t>
  </si>
  <si>
    <t>2009-07-21 Auditory continuous 10s with 0.60mA footshock Trial41</t>
  </si>
  <si>
    <t>2009-07-21 Auditory continuous 10s with 0.60mA footshock Trial42</t>
  </si>
  <si>
    <t>2009-07-21 Auditory continuous 10s with 0.60mA footshock Trial43</t>
  </si>
  <si>
    <t>2009-07-21 Auditory continuous 10s with 0.60mA footshock Trial44</t>
  </si>
  <si>
    <t>2009-07-23 Auditory continuous 10s with 0.60mA footshock Trial41</t>
  </si>
  <si>
    <t>2009-07-23 Auditory continuous 10s with 0.60mA footshock Trial42</t>
  </si>
  <si>
    <t>2009-07-23 Auditory continuous 10s with 0.60mA footshock Trial43</t>
  </si>
  <si>
    <t>2009-07-23 Auditory continuous 10s with 0.60mA footshock Trial44</t>
  </si>
  <si>
    <t>2009-07-27 Auditory continuous 10s with 0.60mA footshock Trial41</t>
  </si>
  <si>
    <t>2009-07-27 Auditory continuous 10s with 0.60mA footshock Trial42</t>
  </si>
  <si>
    <t>2009-07-27 Auditory continuous 10s with 0.60mA footshock Trial43</t>
  </si>
  <si>
    <t>2009-07-27 Auditory continuous 10s with 0.60mA footshock Trial44</t>
  </si>
  <si>
    <t>2009-08-05 Auditory continuous 10s with 0.60mA footshock Trial41</t>
  </si>
  <si>
    <t>2009-08-05 Auditory continuous 10s with 0.60mA footshock Trial42</t>
  </si>
  <si>
    <t>2009-08-05 Auditory continuous 10s with 0.60mA footshock Trial43</t>
  </si>
  <si>
    <t>2009-08-05 Auditory continuous 10s with 0.60mA footshock Trial44</t>
  </si>
  <si>
    <t>2009-07-21 Auditory continuous 10s with 0.60mA footshock Trial45</t>
  </si>
  <si>
    <t>2009-07-21 Auditory continuous 10s with 0.60mA footshock Trial46</t>
  </si>
  <si>
    <t>2009-07-21 Auditory continuous 10s with 0.60mA footshock Trial47</t>
  </si>
  <si>
    <t>2009-07-21 Auditory continuous 10s with 0.60mA footshock Trial48</t>
  </si>
  <si>
    <t>2009-07-23 Auditory continuous 10s with 0.60mA footshock Trial45</t>
  </si>
  <si>
    <t>2009-07-23 Auditory continuous 10s with 0.60mA footshock Trial46</t>
  </si>
  <si>
    <t>2009-07-23 Auditory continuous 10s with 0.60mA footshock Trial47</t>
  </si>
  <si>
    <t>2009-07-23 Auditory continuous 10s with 0.60mA footshock Trial48</t>
  </si>
  <si>
    <t>2009-07-27 Auditory continuous 10s with 0.60mA footshock Trial45</t>
  </si>
  <si>
    <t>2009-07-27 Auditory continuous 10s with 0.60mA footshock Trial46</t>
  </si>
  <si>
    <t>2009-07-27 Auditory continuous 10s with 0.60mA footshock Trial47</t>
  </si>
  <si>
    <t>2009-07-27 Auditory continuous 10s with 0.60mA footshock Trial48</t>
  </si>
  <si>
    <t>2009-08-05 Auditory continuous 10s with 0.60mA footshock Trial45</t>
  </si>
  <si>
    <t>2009-08-05 Auditory continuous 10s with 0.60mA footshock Trial46</t>
  </si>
  <si>
    <t>2009-08-05 Auditory continuous 10s with 0.60mA footshock Trial47</t>
  </si>
  <si>
    <t>2009-08-05 Auditory continuous 10s with 0.60mA footshock Trial48</t>
  </si>
  <si>
    <t>2009-08-14 Electrical continuous 10s with 0.60mA footshock Trial1</t>
  </si>
  <si>
    <t>2009-08-14 Electrical continuous 10s with 0.60mA footshock Trial5</t>
  </si>
  <si>
    <t>2009-08-14 Electrical continuous 10s with 0.60mA footshock Trial7</t>
  </si>
  <si>
    <t>2009-08-14 Electrical continuous 10s with 0.60mA footshock Trial8</t>
  </si>
  <si>
    <t>2009-08-14 Electrical continuous 10s with 0.60mA footshock Trial9</t>
  </si>
  <si>
    <t>2009-08-14 Electrical continuous 10s with 0.60mA footshock Trial14</t>
  </si>
  <si>
    <t>2009-08-14 Electrical continuous 10s with 0.60mA footshock Trial15</t>
  </si>
  <si>
    <t>2009-08-14 Electrical continuous 10s with 0.60mA footshock Trial16</t>
  </si>
  <si>
    <t>2009-08-14 Electrical continuous 10s with 0.60mA footshock Trial17</t>
  </si>
  <si>
    <t>2009-08-14 Electrical continuous 10s with 0.60mA footshock Trial19</t>
  </si>
  <si>
    <t>2009-08-14 Electrical continuous 10s with 0.60mA footshock Trial20</t>
  </si>
  <si>
    <t>2009-08-14 Electrical continuous 10s with 0.60mA footshock Trial22</t>
  </si>
  <si>
    <t>2009-08-14 Electrical continuous 10s with 0.60mA footshock Trial25</t>
  </si>
  <si>
    <t>2009-08-14 Electrical continuous 10s with 0.60mA footshock Trial26</t>
  </si>
  <si>
    <t>2009-08-14 Electrical continuous 10s with 0.60mA footshock Trial27</t>
  </si>
  <si>
    <t>2009-08-14 Electrical continuous 10s with 0.60mA footshock Trial28</t>
  </si>
  <si>
    <t>2009-08-14 Electrical continuous 10s with 0.60mA footshock Trial33</t>
  </si>
  <si>
    <t>2009-08-14 Electrical continuous 10s with 0.60mA footshock Trial34</t>
  </si>
  <si>
    <t>2009-08-14 Electrical continuous 10s with 0.60mA footshock Trial38</t>
  </si>
  <si>
    <t>2009-08-14 Electrical continuous 10s with 0.60mA footshock Trial39</t>
  </si>
  <si>
    <t>2009-08-14 Electrical continuous 10s with 0.60mA footshock Trial41</t>
  </si>
  <si>
    <t>2009-08-14 Electrical continuous 10s with 0.60mA footshock Trial42</t>
  </si>
  <si>
    <t>2009-08-14 Electrical continuous 10s with 0.60mA footshock Trial45</t>
  </si>
  <si>
    <t>2009-08-14 Electrical continuous 10s with 0.60mA footshock Trial47</t>
  </si>
  <si>
    <t>2009-08-20 Electrical continuous 10s with 0.60mA footshock Trial1</t>
  </si>
  <si>
    <t>2009-08-20 Electrical continuous 10s with 0.60mA footshock Trial3</t>
  </si>
  <si>
    <t>2009-08-20 Electrical continuous 10s with 0.60mA footshock Trial4</t>
  </si>
  <si>
    <t>2009-08-20 Electrical continuous 10s with 0.60mA footshock Trial5</t>
  </si>
  <si>
    <t>2009-08-20 Electrical continuous 10s with 0.60mA footshock Trial9</t>
  </si>
  <si>
    <t>2009-08-20 Electrical continuous 10s with 0.60mA footshock Trial10</t>
  </si>
  <si>
    <t>2009-08-20 Electrical continuous 10s with 0.60mA footshock Trial11</t>
  </si>
  <si>
    <t>2009-08-20 Electrical continuous 10s with 0.60mA footshock Trial16</t>
  </si>
  <si>
    <t>2009-08-20 Electrical continuous 10s with 0.60mA footshock Trial17</t>
  </si>
  <si>
    <t>2009-08-20 Electrical continuous 10s with 0.60mA footshock Trial18</t>
  </si>
  <si>
    <t>2009-08-20 Electrical continuous 10s with 0.60mA footshock Trial21</t>
  </si>
  <si>
    <t>2009-08-20 Electrical continuous 10s with 0.60mA footshock Trial23</t>
  </si>
  <si>
    <t>2009-08-20 Electrical continuous 10s with 0.60mA footshock Trial25</t>
  </si>
  <si>
    <t>2009-08-20 Electrical continuous 10s with 0.60mA footshock Trial27</t>
  </si>
  <si>
    <t>2009-08-20 Electrical continuous 10s with 0.60mA footshock Trial29</t>
  </si>
  <si>
    <t>2009-08-20 Electrical continuous 10s with 0.60mA footshock Trial31</t>
  </si>
  <si>
    <t>2009-08-20 Electrical continuous 10s with 0.60mA footshock Trial33</t>
  </si>
  <si>
    <t>2009-08-20 Electrical continuous 10s with 0.60mA footshock Trial34</t>
  </si>
  <si>
    <t>2009-08-20 Electrical continuous 10s with 0.60mA footshock Trial35</t>
  </si>
  <si>
    <t>2009-08-20 Electrical continuous 10s with 0.60mA footshock Trial39</t>
  </si>
  <si>
    <t>2009-08-20 Electrical continuous 10s with 0.60mA footshock Trial41</t>
  </si>
  <si>
    <t>2009-08-20 Electrical continuous 10s with 0.60mA footshock Trial45</t>
  </si>
  <si>
    <t>2009-08-20 Electrical continuous 10s with 0.60mA footshock Trial46</t>
  </si>
  <si>
    <t>2009-08-20 Electrical continuous 10s with 0.60mA footshock Trial48</t>
  </si>
  <si>
    <t>2009-08-30 Electrical continuous 10s with 0.60mA footshock Trial1</t>
  </si>
  <si>
    <t>2009-08-30 Electrical continuous 10s with 0.60mA footshock Trial5</t>
  </si>
  <si>
    <t>2009-08-30 Electrical continuous 10s with 0.60mA footshock Trial6</t>
  </si>
  <si>
    <t>2009-08-30 Electrical continuous 10s with 0.60mA footshock Trial8</t>
  </si>
  <si>
    <t>2009-08-30 Electrical continuous 10s with 0.60mA footshock Trial9</t>
  </si>
  <si>
    <t>2009-08-30 Electrical continuous 10s with 0.60mA footshock Trial10</t>
  </si>
  <si>
    <t>2009-08-30 Electrical continuous 10s with 0.60mA footshock Trial13</t>
  </si>
  <si>
    <t>2009-08-30 Electrical continuous 10s with 0.60mA footshock Trial16</t>
  </si>
  <si>
    <t>2009-08-30 Electrical continuous 10s with 0.60mA footshock Trial17</t>
  </si>
  <si>
    <t>2009-08-30 Electrical continuous 10s with 0.60mA footshock Trial18</t>
  </si>
  <si>
    <t>2009-08-30 Electrical continuous 10s with 0.60mA footshock Trial22</t>
  </si>
  <si>
    <t>2009-08-30 Electrical continuous 10s with 0.60mA footshock Trial24</t>
  </si>
  <si>
    <t>2009-08-30 Electrical continuous 10s with 0.60mA footshock Trial25</t>
  </si>
  <si>
    <t>2009-08-30 Electrical continuous 10s with 0.60mA footshock Trial26</t>
  </si>
  <si>
    <t>2009-08-30 Electrical continuous 10s with 0.60mA footshock Trial27</t>
  </si>
  <si>
    <t>2009-08-30 Electrical continuous 10s with 0.60mA footshock Trial28</t>
  </si>
  <si>
    <t>2009-08-30 Electrical continuous 10s with 0.60mA footshock Trial33</t>
  </si>
  <si>
    <t>2009-08-30 Electrical continuous 10s with 0.60mA footshock Trial34</t>
  </si>
  <si>
    <t>2009-08-30 Electrical continuous 10s with 0.60mA footshock Trial35</t>
  </si>
  <si>
    <t>2009-08-30 Electrical continuous 10s with 0.60mA footshock Trial36</t>
  </si>
  <si>
    <t>2009-08-30 Electrical continuous 10s with 0.60mA footshock Trial41</t>
  </si>
  <si>
    <t>2009-08-30 Electrical continuous 10s with 0.60mA footshock Trial44</t>
  </si>
  <si>
    <t>2009-08-30 Electrical continuous 10s with 0.60mA footshock Trial46</t>
  </si>
  <si>
    <t>2009-08-30 Electrical continuous 10s with 0.60mA footshock Trial48</t>
  </si>
  <si>
    <t>2009-09-01 Electrical continuous 10s with 0.60mA footshock Trial1</t>
  </si>
  <si>
    <t>2009-09-01 Electrical continuous 10s with 0.60mA footshock Trial2</t>
  </si>
  <si>
    <t>2009-09-01 Electrical continuous 10s with 0.60mA footshock Trial4</t>
  </si>
  <si>
    <t>2009-09-01 Electrical continuous 10s with 0.60mA footshock Trial6</t>
  </si>
  <si>
    <t>2009-09-01 Electrical continuous 10s with 0.60mA footshock Trial9</t>
  </si>
  <si>
    <t>2009-09-01 Electrical continuous 10s with 0.60mA footshock Trial11</t>
  </si>
  <si>
    <t>2009-09-01 Electrical continuous 10s with 0.60mA footshock Trial12</t>
  </si>
  <si>
    <t>2009-09-01 Electrical continuous 10s with 0.60mA footshock Trial15</t>
  </si>
  <si>
    <t>2009-09-01 Electrical continuous 10s with 0.60mA footshock Trial17</t>
  </si>
  <si>
    <t>2009-09-01 Electrical continuous 10s with 0.60mA footshock Trial18</t>
  </si>
  <si>
    <t>2009-09-01 Electrical continuous 10s with 0.60mA footshock Trial19</t>
  </si>
  <si>
    <t>2009-09-01 Electrical continuous 10s with 0.60mA footshock Trial21</t>
  </si>
  <si>
    <t>2009-09-01 Electrical continuous 10s with 0.60mA footshock Trial25</t>
  </si>
  <si>
    <t>2009-09-01 Electrical continuous 10s with 0.60mA footshock Trial26</t>
  </si>
  <si>
    <t>2009-09-01 Electrical continuous 10s with 0.60mA footshock Trial29</t>
  </si>
  <si>
    <t>2009-09-01 Electrical continuous 10s with 0.60mA footshock Trial30</t>
  </si>
  <si>
    <t>2009-09-01 Electrical continuous 10s with 0.60mA footshock Trial33</t>
  </si>
  <si>
    <t>2009-09-01 Electrical continuous 10s with 0.60mA footshock Trial38</t>
  </si>
  <si>
    <t>2009-09-01 Electrical continuous 10s with 0.60mA footshock Trial39</t>
  </si>
  <si>
    <t>2009-09-01 Electrical continuous 10s with 0.60mA footshock Trial40</t>
  </si>
  <si>
    <t>2009-09-01 Electrical continuous 10s with 0.60mA footshock Trial41</t>
  </si>
  <si>
    <t>2009-09-01 Electrical continuous 10s with 0.60mA footshock Trial42</t>
  </si>
  <si>
    <t>2009-09-01 Electrical continuous 10s with 0.60mA footshock Trial44</t>
  </si>
  <si>
    <t>2009-09-01 Electrical continuous 10s with 0.60mA footshock Trial46</t>
  </si>
  <si>
    <t>2009-09-02 Electrical continuous 10s with 0.60mA footshock Trial1</t>
  </si>
  <si>
    <t>2009-09-02 Electrical continuous 10s with 0.60mA footshock Trial3</t>
  </si>
  <si>
    <t>2009-09-02 Electrical continuous 10s with 0.60mA footshock Trial4</t>
  </si>
  <si>
    <t>2009-09-02 Electrical continuous 10s with 0.60mA footshock Trial5</t>
  </si>
  <si>
    <t>2009-09-02 Electrical continuous 10s with 0.60mA footshock Trial9</t>
  </si>
  <si>
    <t>2009-09-02 Electrical continuous 10s with 0.60mA footshock Trial11</t>
  </si>
  <si>
    <t>2009-09-02 Electrical continuous 10s with 0.60mA footshock Trial12</t>
  </si>
  <si>
    <t>2009-09-02 Electrical continuous 10s with 0.60mA footshock Trial13</t>
  </si>
  <si>
    <t>2009-09-02 Electrical continuous 10s with 0.60mA footshock Trial17</t>
  </si>
  <si>
    <t>2009-09-02 Electrical continuous 10s with 0.60mA footshock Trial19</t>
  </si>
  <si>
    <t>2009-09-02 Electrical continuous 10s with 0.60mA footshock Trial22</t>
  </si>
  <si>
    <t>2009-09-02 Electrical continuous 10s with 0.60mA footshock Trial23</t>
  </si>
  <si>
    <t>2009-09-02 Electrical continuous 10s with 0.60mA footshock Trial25</t>
  </si>
  <si>
    <t>2009-09-02 Electrical continuous 10s with 0.60mA footshock Trial27</t>
  </si>
  <si>
    <t>2009-09-02 Electrical continuous 10s with 0.60mA footshock Trial28</t>
  </si>
  <si>
    <t>2009-09-02 Electrical continuous 10s with 0.60mA footshock Trial29</t>
  </si>
  <si>
    <t>2009-09-02 Electrical continuous 10s with 0.60mA footshock Trial33</t>
  </si>
  <si>
    <t>2009-09-02 Electrical continuous 10s with 0.60mA footshock Trial34</t>
  </si>
  <si>
    <t>2009-09-02 Electrical continuous 10s with 0.60mA footshock Trial39</t>
  </si>
  <si>
    <t>2009-09-02 Electrical continuous 10s with 0.60mA footshock Trial40</t>
  </si>
  <si>
    <t>2009-09-02 Electrical continuous 10s with 0.60mA footshock Trial41</t>
  </si>
  <si>
    <t>2009-09-02 Electrical continuous 10s with 0.60mA footshock Trial44</t>
  </si>
  <si>
    <t>2009-09-02 Electrical continuous 10s with 0.60mA footshock Trial45</t>
  </si>
  <si>
    <t>2009-09-02 Electrical continuous 10s with 0.60mA footshock Trial47</t>
  </si>
  <si>
    <t>2009-09-03 Electrical continuous 10s with 0.60mA footshock Trial1</t>
  </si>
  <si>
    <t>2009-09-03 Electrical continuous 10s with 0.60mA footshock Trial4</t>
  </si>
  <si>
    <t>2009-09-03 Electrical continuous 10s with 0.60mA footshock Trial6</t>
  </si>
  <si>
    <t>2009-09-03 Electrical continuous 10s with 0.60mA footshock Trial8</t>
  </si>
  <si>
    <t>2009-09-03 Electrical continuous 10s with 0.60mA footshock Trial9</t>
  </si>
  <si>
    <t>2009-09-03 Electrical continuous 10s with 0.60mA footshock Trial10</t>
  </si>
  <si>
    <t>2009-09-03 Electrical continuous 10s with 0.60mA footshock Trial14</t>
  </si>
  <si>
    <t>2009-09-03 Electrical continuous 10s with 0.60mA footshock Trial16</t>
  </si>
  <si>
    <t>2009-09-03 Electrical continuous 10s with 0.60mA footshock Trial17</t>
  </si>
  <si>
    <t>2009-09-03 Electrical continuous 10s with 0.60mA footshock Trial19</t>
  </si>
  <si>
    <t>2009-09-03 Electrical continuous 10s with 0.60mA footshock Trial20</t>
  </si>
  <si>
    <t>2009-09-03 Electrical continuous 10s with 0.60mA footshock Trial24</t>
  </si>
  <si>
    <t>2009-09-03 Electrical continuous 10s with 0.60mA footshock Trial25</t>
  </si>
  <si>
    <t>2009-09-03 Electrical continuous 10s with 0.60mA footshock Trial27</t>
  </si>
  <si>
    <t>2009-09-03 Electrical continuous 10s with 0.60mA footshock Trial28</t>
  </si>
  <si>
    <t>2009-09-03 Electrical continuous 10s with 0.60mA footshock Trial32</t>
  </si>
  <si>
    <t>2009-09-03 Electrical continuous 10s with 0.60mA footshock Trial33</t>
  </si>
  <si>
    <t>2009-09-03 Electrical continuous 10s with 0.60mA footshock Trial34</t>
  </si>
  <si>
    <t>2009-09-03 Electrical continuous 10s with 0.60mA footshock Trial37</t>
  </si>
  <si>
    <t>2009-09-03 Electrical continuous 10s with 0.60mA footshock Trial40</t>
  </si>
  <si>
    <t>2009-09-03 Electrical continuous 10s with 0.60mA footshock Trial41</t>
  </si>
  <si>
    <t>2009-09-03 Electrical continuous 10s with 0.60mA footshock Trial43</t>
  </si>
  <si>
    <t>2009-09-03 Electrical continuous 10s with 0.60mA footshock Trial44</t>
  </si>
  <si>
    <t>2009-09-03 Electrical continuous 10s with 0.60mA footshock Trial48</t>
  </si>
  <si>
    <t>2009-09-04 Electrical continuous 10s with 0.60mA footshock Trial1</t>
  </si>
  <si>
    <t>2009-09-04 Electrical continuous 10s with 0.60mA footshock Trial2</t>
  </si>
  <si>
    <t>2009-09-04 Electrical continuous 10s with 0.60mA footshock Trial7</t>
  </si>
  <si>
    <t>2009-09-04 Electrical continuous 10s with 0.60mA footshock Trial8</t>
  </si>
  <si>
    <t>2009-09-04 Electrical continuous 10s with 0.60mA footshock Trial9</t>
  </si>
  <si>
    <t>2009-09-04 Electrical continuous 10s with 0.60mA footshock Trial11</t>
  </si>
  <si>
    <t>2009-09-04 Electrical continuous 10s with 0.60mA footshock Trial12</t>
  </si>
  <si>
    <t>2009-09-04 Electrical continuous 10s with 0.60mA footshock Trial13</t>
  </si>
  <si>
    <t>2009-09-04 Electrical continuous 10s with 0.60mA footshock Trial17</t>
  </si>
  <si>
    <t>2009-09-04 Electrical continuous 10s with 0.60mA footshock Trial18</t>
  </si>
  <si>
    <t>2009-09-04 Electrical continuous 10s with 0.60mA footshock Trial21</t>
  </si>
  <si>
    <t>2009-09-04 Electrical continuous 10s with 0.60mA footshock Trial24</t>
  </si>
  <si>
    <t>2009-09-04 Electrical continuous 10s with 0.60mA footshock Trial25</t>
  </si>
  <si>
    <t>2009-09-04 Electrical continuous 10s with 0.60mA footshock Trial26</t>
  </si>
  <si>
    <t>2009-09-04 Electrical continuous 10s with 0.60mA footshock Trial28</t>
  </si>
  <si>
    <t>2009-09-04 Electrical continuous 10s with 0.60mA footshock Trial29</t>
  </si>
  <si>
    <t>2009-09-04 Electrical continuous 10s with 0.60mA footshock Trial33</t>
  </si>
  <si>
    <t>2009-09-04 Electrical continuous 10s with 0.60mA footshock Trial34</t>
  </si>
  <si>
    <t>2009-09-04 Electrical continuous 10s with 0.60mA footshock Trial35</t>
  </si>
  <si>
    <t>2009-09-04 Electrical continuous 10s with 0.60mA footshock Trial37</t>
  </si>
  <si>
    <t>2009-09-04 Electrical continuous 10s with 0.60mA footshock Trial41</t>
  </si>
  <si>
    <t>2009-09-04 Electrical continuous 10s with 0.60mA footshock Trial42</t>
  </si>
  <si>
    <t>2009-09-04 Electrical continuous 10s with 0.60mA footshock Trial43</t>
  </si>
  <si>
    <t>2009-09-04 Electrical continuous 10s with 0.60mA footshock Trial45</t>
  </si>
  <si>
    <t>2009-09-06 Electrical continuous 10s with 0.60mA footshock - low stim amp Trial1</t>
  </si>
  <si>
    <t>2009-09-06 Electrical continuous 10s with 0.60mA footshock - low stim amp Trial2</t>
  </si>
  <si>
    <t>2009-09-06 Electrical continuous 10s with 0.60mA footshock - low stim amp Trial3</t>
  </si>
  <si>
    <t>2009-09-06 Electrical continuous 10s with 0.60mA footshock - low stim amp Trial7</t>
  </si>
  <si>
    <t>2009-09-06 Electrical continuous 10s with 0.60mA footshock - low stim amp Trial9</t>
  </si>
  <si>
    <t>2009-09-06 Electrical continuous 10s with 0.60mA footshock - low stim amp Trial13</t>
  </si>
  <si>
    <t>2009-09-06 Electrical continuous 10s with 0.60mA footshock - low stim amp Trial14</t>
  </si>
  <si>
    <t>2009-09-06 Electrical continuous 10s with 0.60mA footshock - low stim amp Trial16</t>
  </si>
  <si>
    <t>2009-09-06 Electrical continuous 10s with 0.60mA footshock - low stim amp Trial17</t>
  </si>
  <si>
    <t>2009-09-06 Electrical continuous 10s with 0.60mA footshock - low stim amp Trial18</t>
  </si>
  <si>
    <t>2009-09-06 Electrical continuous 10s with 0.60mA footshock - low stim amp Trial19</t>
  </si>
  <si>
    <t>2009-09-06 Electrical continuous 10s with 0.60mA footshock - low stim amp Trial22</t>
  </si>
  <si>
    <t>2009-09-06 Electrical continuous 10s with 0.60mA footshock - low stim amp Trial25</t>
  </si>
  <si>
    <t>2009-09-06 Electrical continuous 10s with 0.60mA footshock - low stim amp Trial27</t>
  </si>
  <si>
    <t>2009-09-06 Electrical continuous 10s with 0.60mA footshock - low stim amp Trial29</t>
  </si>
  <si>
    <t>2009-09-06 Electrical continuous 10s with 0.60mA footshock - low stim amp Trial30</t>
  </si>
  <si>
    <t>2009-09-06 Electrical continuous 10s with 0.60mA footshock - low stim amp Trial33</t>
  </si>
  <si>
    <t>2009-09-06 Electrical continuous 10s with 0.60mA footshock - low stim amp Trial37</t>
  </si>
  <si>
    <t>2009-09-06 Electrical continuous 10s with 0.60mA footshock - low stim amp Trial38</t>
  </si>
  <si>
    <t>2009-09-06 Electrical continuous 10s with 0.60mA footshock - low stim amp Trial39</t>
  </si>
  <si>
    <t>2009-09-06 Electrical continuous 10s with 0.60mA footshock - low stim amp Trial41</t>
  </si>
  <si>
    <t>2009-09-06 Electrical continuous 10s with 0.60mA footshock - low stim amp Trial42</t>
  </si>
  <si>
    <t>2009-09-06 Electrical continuous 10s with 0.60mA footshock - low stim amp Trial43</t>
  </si>
  <si>
    <t>2009-09-06 Electrical continuous 10s with 0.60mA footshock - low stim amp Trial47</t>
  </si>
  <si>
    <t>2009-09-07 Electrical continuous 10s with 0.60mA footshock Trial1</t>
  </si>
  <si>
    <t>2009-09-07 Electrical continuous 10s with 0.60mA footshock Trial3</t>
  </si>
  <si>
    <t>2009-09-07 Electrical continuous 10s with 0.60mA footshock Trial4</t>
  </si>
  <si>
    <t>2009-09-07 Electrical continuous 10s with 0.60mA footshock Trial7</t>
  </si>
  <si>
    <t>2009-09-07 Electrical continuous 10s with 0.60mA footshock Trial9</t>
  </si>
  <si>
    <t>2009-09-07 Electrical continuous 10s with 0.60mA footshock Trial10</t>
  </si>
  <si>
    <t>2009-09-07 Electrical continuous 10s with 0.60mA footshock Trial12</t>
  </si>
  <si>
    <t>2009-09-07 Electrical continuous 10s with 0.60mA footshock Trial16</t>
  </si>
  <si>
    <t>2009-09-07 Electrical continuous 10s with 0.60mA footshock Trial17</t>
  </si>
  <si>
    <t>2009-09-07 Electrical continuous 10s with 0.60mA footshock Trial18</t>
  </si>
  <si>
    <t>2009-09-07 Electrical continuous 10s with 0.60mA footshock Trial19</t>
  </si>
  <si>
    <t>2009-09-07 Electrical continuous 10s with 0.60mA footshock Trial22</t>
  </si>
  <si>
    <t>2009-09-07 Electrical continuous 10s with 0.60mA footshock Trial25</t>
  </si>
  <si>
    <t>2009-09-07 Electrical continuous 10s with 0.60mA footshock Trial26</t>
  </si>
  <si>
    <t>2009-09-07 Electrical continuous 10s with 0.60mA footshock Trial27</t>
  </si>
  <si>
    <t>2009-09-07 Electrical continuous 10s with 0.60mA footshock Trial29</t>
  </si>
  <si>
    <t>2009-09-07 Electrical continuous 10s with 0.60mA footshock Trial33</t>
  </si>
  <si>
    <t>2009-09-07 Electrical continuous 10s with 0.60mA footshock Trial35</t>
  </si>
  <si>
    <t>2009-09-07 Electrical continuous 10s with 0.60mA footshock Trial36</t>
  </si>
  <si>
    <t>2009-09-07 Electrical continuous 10s with 0.60mA footshock Trial39</t>
  </si>
  <si>
    <t>2009-09-07 Electrical continuous 10s with 0.60mA footshock Trial41</t>
  </si>
  <si>
    <t>2009-09-07 Electrical continuous 10s with 0.60mA footshock Trial42</t>
  </si>
  <si>
    <t>2009-09-07 Electrical continuous 10s with 0.60mA footshock Trial45</t>
  </si>
  <si>
    <t>2009-09-07 Electrical continuous 10s with 0.60mA footshock Trial48</t>
  </si>
  <si>
    <t>2009-09-08 Electrical continuous 10s with 0.60mA footshock Trial1</t>
  </si>
  <si>
    <t>2009-09-14 Reconditioning continuous 10s with 0.60mA footshock Trial45</t>
  </si>
  <si>
    <t>2009-09-14 Reconditioning continuous 10s with 0.60mA footshock Trial46</t>
  </si>
  <si>
    <t>2009-09-14 Reconditioning continuous 10s with 0.60mA footshock Trial47</t>
  </si>
  <si>
    <t>2009-09-14 Reconditioning continuous 10s with 0.60mA footshock Trial48</t>
  </si>
  <si>
    <t>2009-09-10 Electrical continuous 10s with 0.60mA footshock Trial1</t>
  </si>
  <si>
    <t>2009-09-10 Electrical continuous 10s with 0.60mA footshock Trial3</t>
  </si>
  <si>
    <t>2009-09-10 Electrical continuous 10s with 0.60mA footshock Trial6</t>
  </si>
  <si>
    <t>2009-09-10 Electrical continuous 10s with 0.60mA footshock Trial7</t>
  </si>
  <si>
    <t>2009-09-10 Electrical continuous 10s with 0.60mA footshock Trial9</t>
  </si>
  <si>
    <t>2009-09-10 Electrical continuous 10s with 0.60mA footshock Trial12</t>
  </si>
  <si>
    <t>2009-09-10 Electrical continuous 10s with 0.60mA footshock Trial13</t>
  </si>
  <si>
    <t>2009-09-10 Electrical continuous 10s with 0.60mA footshock Trial15</t>
  </si>
  <si>
    <t>2009-09-10 Electrical continuous 10s with 0.60mA footshock Trial17</t>
  </si>
  <si>
    <t>2009-09-10 Electrical continuous 10s with 0.60mA footshock Trial18</t>
  </si>
  <si>
    <t>2009-09-10 Electrical continuous 10s with 0.60mA footshock Trial22</t>
  </si>
  <si>
    <t>2009-09-10 Electrical continuous 10s with 0.60mA footshock Trial23</t>
  </si>
  <si>
    <t>2009-09-10 Electrical continuous 10s with 0.60mA footshock Trial25</t>
  </si>
  <si>
    <t>2009-09-10 Electrical continuous 10s with 0.60mA footshock Trial28</t>
  </si>
  <si>
    <t>2009-09-10 Electrical continuous 10s with 0.60mA footshock Trial30</t>
  </si>
  <si>
    <t>2009-09-10 Electrical continuous 10s with 0.60mA footshock Trial32</t>
  </si>
  <si>
    <t>2009-09-10 Electrical continuous 10s with 0.60mA footshock Trial33</t>
  </si>
  <si>
    <t>2009-09-10 Electrical continuous 10s with 0.60mA footshock Trial36</t>
  </si>
  <si>
    <t>2009-09-10 Electrical continuous 10s with 0.60mA footshock Trial38</t>
  </si>
  <si>
    <t>2009-09-10 Electrical continuous 10s with 0.60mA footshock Trial39</t>
  </si>
  <si>
    <t>2009-09-10 Electrical continuous 10s with 0.60mA footshock Trial41</t>
  </si>
  <si>
    <t>2009-09-10 Electrical continuous 10s with 0.60mA footshock Trial42</t>
  </si>
  <si>
    <t>2009-09-10 Electrical continuous 10s with 0.60mA footshock Trial44</t>
  </si>
  <si>
    <t>2009-09-10 Electrical continuous 10s with 0.60mA footshock Trial48</t>
  </si>
  <si>
    <t>2009-09-11 Generalisation testing Trial1</t>
  </si>
  <si>
    <t>2009-09-11 Generalisation testing Trial2</t>
  </si>
  <si>
    <t>2009-09-11 Generalisation testing Trial3</t>
  </si>
  <si>
    <t>2009-09-11 Generalisation testing Trial4</t>
  </si>
  <si>
    <t>2009-09-11 Generalisation testing Trial5</t>
  </si>
  <si>
    <t>2009-09-11 Generalisation testing Trial6</t>
  </si>
  <si>
    <t>2009-09-11 Generalisation testing Trial7</t>
  </si>
  <si>
    <t>2009-09-11 Generalisation testing Trial8</t>
  </si>
  <si>
    <t>2009-09-11 Generalisation testing Trial9</t>
  </si>
  <si>
    <t>2009-09-11 Generalisation testing Trial10</t>
  </si>
  <si>
    <t>2009-09-11 Generalisation testing Trial11</t>
  </si>
  <si>
    <t>2009-09-11 Generalisation testing Trial12</t>
  </si>
  <si>
    <t>2009-09-11 Generalisation testing Trial13</t>
  </si>
  <si>
    <t>2009-09-11 Generalisation testing Trial14</t>
  </si>
  <si>
    <t>2009-09-11 Generalisation testing Trial15</t>
  </si>
  <si>
    <t>2009-09-11 Generalisation testing Trial16</t>
  </si>
  <si>
    <t>2009-09-11 Generalisation testing Trial17</t>
  </si>
  <si>
    <t>2009-09-11 Generalisation testing Trial18</t>
  </si>
  <si>
    <t>2009-09-11 Generalisation testing Trial19</t>
  </si>
  <si>
    <t>2009-09-11 Generalisation testing Trial20</t>
  </si>
  <si>
    <t>2009-09-11 Generalisation testing Trial21</t>
  </si>
  <si>
    <t>2009-09-11 Generalisation testing Trial22</t>
  </si>
  <si>
    <t>2009-09-11 Generalisation testing Trial23</t>
  </si>
  <si>
    <t>2009-09-11 Generalisation testing Trial24</t>
  </si>
  <si>
    <t>2009-09-11 Generalisation testing Trial25</t>
  </si>
  <si>
    <t>2009-09-11 Generalisation testing Trial26</t>
  </si>
  <si>
    <t>2009-09-11 Generalisation testing Trial27</t>
  </si>
  <si>
    <t>2009-09-11 Generalisation testing Trial28</t>
  </si>
  <si>
    <t>2009-09-11 Generalisation testing Trial29</t>
  </si>
  <si>
    <t>2009-09-11 Generalisation testing Trial30</t>
  </si>
  <si>
    <t>2009-09-11 Generalisation testing Trial31</t>
  </si>
  <si>
    <t>2009-09-11 Generalisation testing Trial32</t>
  </si>
  <si>
    <t>2009-09-11 Generalisation testing Trial33</t>
  </si>
  <si>
    <t>2009-09-11 Generalisation testing Trial34</t>
  </si>
  <si>
    <t>2009-09-11 Generalisation testing Trial35</t>
  </si>
  <si>
    <t>2009-09-11 Generalisation testing Trial36</t>
  </si>
  <si>
    <t>2009-09-11 Generalisation testing Trial37</t>
  </si>
  <si>
    <t>2009-09-11 Generalisation testing Trial38</t>
  </si>
  <si>
    <t>2009-09-11 Generalisation testing Trial39</t>
  </si>
  <si>
    <t>2009-09-11 Generalisation testing Trial40</t>
  </si>
  <si>
    <t>2009-09-11 Generalisation testing Trial41</t>
  </si>
  <si>
    <t>2009-09-11 Generalisation testing Trial42</t>
  </si>
  <si>
    <t>2009-09-11 Generalisation testing Trial43</t>
  </si>
  <si>
    <t>2009-09-11 Generalisation testing Trial44</t>
  </si>
  <si>
    <t>2009-09-11 Generalisation testing Trial45</t>
  </si>
  <si>
    <t>2009-09-11 Generalisation testing Trial46</t>
  </si>
  <si>
    <t>2009-09-11 Generalisation testing Trial47</t>
  </si>
  <si>
    <t>2009-09-11 Generalisation testing Trial48</t>
  </si>
  <si>
    <t>2009-09-14 Reconditioning continuous 10s with 0.60mA footshock Trial1</t>
  </si>
  <si>
    <t>2009-09-14 Reconditioning continuous 10s with 0.60mA footshock Trial2</t>
  </si>
  <si>
    <t>2009-09-14 Reconditioning continuous 10s with 0.60mA footshock Trial3</t>
  </si>
  <si>
    <t>2009-09-14 Reconditioning continuous 10s with 0.60mA footshock Trial4</t>
  </si>
  <si>
    <t>2009-09-14 Reconditioning continuous 10s with 0.60mA footshock Trial5</t>
  </si>
  <si>
    <t>2009-09-14 Reconditioning continuous 10s with 0.60mA footshock Trial6</t>
  </si>
  <si>
    <t>2009-09-14 Reconditioning continuous 10s with 0.60mA footshock Trial7</t>
  </si>
  <si>
    <t>2009-09-14 Reconditioning continuous 10s with 0.60mA footshock Trial8</t>
  </si>
  <si>
    <t>2009-09-14 Reconditioning continuous 10s with 0.60mA footshock Trial9</t>
  </si>
  <si>
    <t>2009-09-14 Reconditioning continuous 10s with 0.60mA footshock Trial10</t>
  </si>
  <si>
    <t>2009-09-14 Reconditioning continuous 10s with 0.60mA footshock Trial11</t>
  </si>
  <si>
    <t>2009-09-14 Reconditioning continuous 10s with 0.60mA footshock Trial12</t>
  </si>
  <si>
    <t>2009-09-14 Reconditioning continuous 10s with 0.60mA footshock Trial13</t>
  </si>
  <si>
    <t>2009-09-14 Reconditioning continuous 10s with 0.60mA footshock Trial14</t>
  </si>
  <si>
    <t>2009-09-14 Reconditioning continuous 10s with 0.60mA footshock Trial15</t>
  </si>
  <si>
    <t>2009-09-14 Reconditioning continuous 10s with 0.60mA footshock Trial16</t>
  </si>
  <si>
    <t>2009-09-14 Reconditioning continuous 10s with 0.60mA footshock Trial17</t>
  </si>
  <si>
    <t>2009-09-14 Reconditioning continuous 10s with 0.60mA footshock Trial18</t>
  </si>
  <si>
    <t>2009-09-14 Reconditioning continuous 10s with 0.60mA footshock Trial19</t>
  </si>
  <si>
    <t>2009-09-14 Reconditioning continuous 10s with 0.60mA footshock Trial20</t>
  </si>
  <si>
    <t>2009-09-14 Reconditioning continuous 10s with 0.60mA footshock Trial21</t>
  </si>
  <si>
    <t>2009-09-14 Reconditioning continuous 10s with 0.60mA footshock Trial22</t>
  </si>
  <si>
    <t>2009-09-14 Reconditioning continuous 10s with 0.60mA footshock Trial23</t>
  </si>
  <si>
    <t>2009-09-14 Reconditioning continuous 10s with 0.60mA footshock Trial24</t>
  </si>
  <si>
    <t>2009-08-07 (problem tank) Electrical continuous 10s with 0.60mA footshock Trial2</t>
  </si>
  <si>
    <t>2009-08-07 (problem tank) Electrical continuous 10s with 0.60mA footshock Trial3</t>
  </si>
  <si>
    <t>2009-08-07 (problem tank) Electrical continuous 10s with 0.60mA footshock Trial4</t>
  </si>
  <si>
    <t>2009-08-07 (problem tank) Electrical continuous 10s with 0.60mA footshock Trial6</t>
  </si>
  <si>
    <t>2009-08-07 (problem tank) Electrical continuous 10s with 0.60mA footshock Trial7</t>
  </si>
  <si>
    <t>2009-08-07 (problem tank) Electrical continuous 10s with 0.60mA footshock Trial8</t>
  </si>
  <si>
    <t>2009-08-07 (problem tank) Electrical continuous 10s with 0.60mA footshock Trial18</t>
  </si>
  <si>
    <t>2009-08-07 (problem tank) Electrical continuous 10s with 0.60mA footshock Trial19</t>
  </si>
  <si>
    <t>2009-08-07 (problem tank) Electrical continuous 10s with 0.60mA footshock Trial20</t>
  </si>
  <si>
    <t>2009-08-07 (problem tank) Electrical continuous 10s with 0.60mA footshock Trial21</t>
  </si>
  <si>
    <t>2009-08-07 (problem tank) Electrical continuous 10s with 0.60mA footshock Trial22</t>
  </si>
  <si>
    <t>2009-08-07 (problem tank) Electrical continuous 10s with 0.60mA footshock Trial24</t>
  </si>
  <si>
    <t>2009-08-07 (problem tank) Electrical continuous 10s with 0.60mA footshock Trial34</t>
  </si>
  <si>
    <t>2009-08-07 (problem tank) Electrical continuous 10s with 0.60mA footshock Trial35</t>
  </si>
  <si>
    <t>2009-08-07 (problem tank) Electrical continuous 10s with 0.60mA footshock Trial36</t>
  </si>
  <si>
    <t>2009-08-07 (problem tank) Electrical continuous 10s with 0.60mA footshock Trial37</t>
  </si>
  <si>
    <t>2009-08-07 (problem tank) Electrical continuous 10s with 0.60mA footshock Trial38</t>
  </si>
  <si>
    <t>2009-08-07 (problem tank) Electrical continuous 10s with 0.60mA footshock Trial39</t>
  </si>
  <si>
    <t>2009-08-14 Electrical continuous 10s with 0.60mA footshock Trial2</t>
  </si>
  <si>
    <t>2009-08-14 Electrical continuous 10s with 0.60mA footshock Trial3</t>
  </si>
  <si>
    <t>2009-08-14 Electrical continuous 10s with 0.60mA footshock Trial4</t>
  </si>
  <si>
    <t>2009-08-14 Electrical continuous 10s with 0.60mA footshock Trial6</t>
  </si>
  <si>
    <t>2009-08-14 Electrical continuous 10s with 0.60mA footshock Trial18</t>
  </si>
  <si>
    <t>2009-08-14 Electrical continuous 10s with 0.60mA footshock Trial21</t>
  </si>
  <si>
    <t>2009-08-14 Electrical continuous 10s with 0.60mA footshock Trial23</t>
  </si>
  <si>
    <t>2009-08-14 Electrical continuous 10s with 0.60mA footshock Trial24</t>
  </si>
  <si>
    <t>2009-08-14 Electrical continuous 10s with 0.60mA footshock Trial35</t>
  </si>
  <si>
    <t>2009-08-14 Electrical continuous 10s with 0.60mA footshock Trial36</t>
  </si>
  <si>
    <t>2009-08-14 Electrical continuous 10s with 0.60mA footshock Trial37</t>
  </si>
  <si>
    <t>2009-08-14 Electrical continuous 10s with 0.60mA footshock Trial40</t>
  </si>
  <si>
    <t>2009-08-20 Electrical continuous 10s with 0.60mA footshock Trial2</t>
  </si>
  <si>
    <t>2009-08-20 Electrical continuous 10s with 0.60mA footshock Trial6</t>
  </si>
  <si>
    <t>2009-08-20 Electrical continuous 10s with 0.60mA footshock Trial7</t>
  </si>
  <si>
    <t>2009-08-20 Electrical continuous 10s with 0.60mA footshock Trial8</t>
  </si>
  <si>
    <t>2009-08-20 Electrical continuous 10s with 0.60mA footshock Trial19</t>
  </si>
  <si>
    <t>2009-08-20 Electrical continuous 10s with 0.60mA footshock Trial20</t>
  </si>
  <si>
    <t>2009-08-20 Electrical continuous 10s with 0.60mA footshock Trial22</t>
  </si>
  <si>
    <t>2009-08-20 Electrical continuous 10s with 0.60mA footshock Trial24</t>
  </si>
  <si>
    <t>2009-08-20 Electrical continuous 10s with 0.60mA footshock Trial36</t>
  </si>
  <si>
    <t>2009-08-20 Electrical continuous 10s with 0.60mA footshock Trial37</t>
  </si>
  <si>
    <t>2009-08-20 Electrical continuous 10s with 0.60mA footshock Trial38</t>
  </si>
  <si>
    <t>2009-08-20 Electrical continuous 10s with 0.60mA footshock Trial40</t>
  </si>
  <si>
    <t>2009-08-30 Electrical continuous 10s with 0.60mA footshock Trial2</t>
  </si>
  <si>
    <t>2009-08-30 Electrical continuous 10s with 0.60mA footshock Trial3</t>
  </si>
  <si>
    <t>2009-08-30 Electrical continuous 10s with 0.60mA footshock Trial4</t>
  </si>
  <si>
    <t>2009-08-30 Electrical continuous 10s with 0.60mA footshock Trial7</t>
  </si>
  <si>
    <t>2009-08-30 Electrical continuous 10s with 0.60mA footshock Trial19</t>
  </si>
  <si>
    <t>2009-08-30 Electrical continuous 10s with 0.60mA footshock Trial20</t>
  </si>
  <si>
    <t>2009-08-30 Electrical continuous 10s with 0.60mA footshock Trial21</t>
  </si>
  <si>
    <t>2009-08-30 Electrical continuous 10s with 0.60mA footshock Trial23</t>
  </si>
  <si>
    <t>2009-08-30 Electrical continuous 10s with 0.60mA footshock Trial37</t>
  </si>
  <si>
    <t>2009-08-30 Electrical continuous 10s with 0.60mA footshock Trial38</t>
  </si>
  <si>
    <t>2009-08-30 Electrical continuous 10s with 0.60mA footshock Trial39</t>
  </si>
  <si>
    <t>2009-08-30 Electrical continuous 10s with 0.60mA footshock Trial40</t>
  </si>
  <si>
    <t>2009-09-01 Electrical continuous 10s with 0.60mA footshock Trial3</t>
  </si>
  <si>
    <t>2009-09-01 Electrical continuous 10s with 0.60mA footshock Trial5</t>
  </si>
  <si>
    <t>2009-09-01 Electrical continuous 10s with 0.60mA footshock Trial7</t>
  </si>
  <si>
    <t>2009-09-01 Electrical continuous 10s with 0.60mA footshock Trial8</t>
  </si>
  <si>
    <t>2009-09-01 Electrical continuous 10s with 0.60mA footshock Trial20</t>
  </si>
  <si>
    <t>2009-09-01 Electrical continuous 10s with 0.60mA footshock Trial22</t>
  </si>
  <si>
    <t>2009-09-01 Electrical continuous 10s with 0.60mA footshock Trial23</t>
  </si>
  <si>
    <t>2009-09-01 Electrical continuous 10s with 0.60mA footshock Trial24</t>
  </si>
  <si>
    <t>2009-09-01 Electrical continuous 10s with 0.60mA footshock Trial34</t>
  </si>
  <si>
    <t>2009-09-01 Electrical continuous 10s with 0.60mA footshock Trial35</t>
  </si>
  <si>
    <t>2009-09-01 Electrical continuous 10s with 0.60mA footshock Trial36</t>
  </si>
  <si>
    <t>2009-09-01 Electrical continuous 10s with 0.60mA footshock Trial37</t>
  </si>
  <si>
    <t>2009-09-02 Electrical continuous 10s with 0.60mA footshock Trial2</t>
  </si>
  <si>
    <t>2009-09-02 Electrical continuous 10s with 0.60mA footshock Trial6</t>
  </si>
  <si>
    <t>2009-09-02 Electrical continuous 10s with 0.60mA footshock Trial7</t>
  </si>
  <si>
    <t>2009-09-02 Electrical continuous 10s with 0.60mA footshock Trial8</t>
  </si>
  <si>
    <t>2009-09-02 Electrical continuous 10s with 0.60mA footshock Trial18</t>
  </si>
  <si>
    <t>2009-09-02 Electrical continuous 10s with 0.60mA footshock Trial20</t>
  </si>
  <si>
    <t>2009-09-02 Electrical continuous 10s with 0.60mA footshock Trial21</t>
  </si>
  <si>
    <t>2009-09-02 Electrical continuous 10s with 0.60mA footshock Trial24</t>
  </si>
  <si>
    <t>2009-09-02 Electrical continuous 10s with 0.60mA footshock Trial35</t>
  </si>
  <si>
    <t>2009-09-02 Electrical continuous 10s with 0.60mA footshock Trial36</t>
  </si>
  <si>
    <t>2009-09-02 Electrical continuous 10s with 0.60mA footshock Trial37</t>
  </si>
  <si>
    <t>2009-09-02 Electrical continuous 10s with 0.60mA footshock Trial38</t>
  </si>
  <si>
    <t>2009-09-03 Electrical continuous 10s with 0.60mA footshock Trial2</t>
  </si>
  <si>
    <t>2009-09-03 Electrical continuous 10s with 0.60mA footshock Trial3</t>
  </si>
  <si>
    <t>2009-09-03 Electrical continuous 10s with 0.60mA footshock Trial5</t>
  </si>
  <si>
    <t>2009-09-03 Electrical continuous 10s with 0.60mA footshock Trial7</t>
  </si>
  <si>
    <t>2009-09-03 Electrical continuous 10s with 0.60mA footshock Trial18</t>
  </si>
  <si>
    <t>2009-09-03 Electrical continuous 10s with 0.60mA footshock Trial21</t>
  </si>
  <si>
    <t>2009-09-03 Electrical continuous 10s with 0.60mA footshock Trial22</t>
  </si>
  <si>
    <t>2009-09-03 Electrical continuous 10s with 0.60mA footshock Trial23</t>
  </si>
  <si>
    <t>2009-09-03 Electrical continuous 10s with 0.60mA footshock Trial35</t>
  </si>
  <si>
    <t>2009-09-03 Electrical continuous 10s with 0.60mA footshock Trial36</t>
  </si>
  <si>
    <t>2009-09-03 Electrical continuous 10s with 0.60mA footshock Trial38</t>
  </si>
  <si>
    <t>2009-09-03 Electrical continuous 10s with 0.60mA footshock Trial39</t>
  </si>
  <si>
    <t>2009-09-04 Electrical continuous 10s with 0.60mA footshock Trial3</t>
  </si>
  <si>
    <t>2009-09-04 Electrical continuous 10s with 0.60mA footshock Trial4</t>
  </si>
  <si>
    <t>2009-09-04 Electrical continuous 10s with 0.60mA footshock Trial5</t>
  </si>
  <si>
    <t>2009-09-04 Electrical continuous 10s with 0.60mA footshock Trial6</t>
  </si>
  <si>
    <t>2009-09-04 Electrical continuous 10s with 0.60mA footshock Trial19</t>
  </si>
  <si>
    <t>2009-09-04 Electrical continuous 10s with 0.60mA footshock Trial20</t>
  </si>
  <si>
    <t>2009-09-04 Electrical continuous 10s with 0.60mA footshock Trial22</t>
  </si>
  <si>
    <t>2009-09-04 Electrical continuous 10s with 0.60mA footshock Trial23</t>
  </si>
  <si>
    <t>2009-09-04 Electrical continuous 10s with 0.60mA footshock Trial36</t>
  </si>
  <si>
    <t>2009-09-04 Electrical continuous 10s with 0.60mA footshock Trial38</t>
  </si>
  <si>
    <t>2009-09-04 Electrical continuous 10s with 0.60mA footshock Trial39</t>
  </si>
  <si>
    <t>2009-09-04 Electrical continuous 10s with 0.60mA footshock Trial40</t>
  </si>
  <si>
    <t>2009-09-06 Electrical continuous 10s with 0.60mA footshock - low stim amp Trial4</t>
  </si>
  <si>
    <t>2009-09-06 Electrical continuous 10s with 0.60mA footshock - low stim amp Trial5</t>
  </si>
  <si>
    <t>2009-09-06 Electrical continuous 10s with 0.60mA footshock - low stim amp Trial6</t>
  </si>
  <si>
    <t>2009-09-06 Electrical continuous 10s with 0.60mA footshock - low stim amp Trial8</t>
  </si>
  <si>
    <t>2009-09-06 Electrical continuous 10s with 0.60mA footshock - low stim amp Trial20</t>
  </si>
  <si>
    <t>2009-09-06 Electrical continuous 10s with 0.60mA footshock - low stim amp Trial21</t>
  </si>
  <si>
    <t>2009-09-06 Electrical continuous 10s with 0.60mA footshock - low stim amp Trial23</t>
  </si>
  <si>
    <t>2009-09-06 Electrical continuous 10s with 0.60mA footshock - low stim amp Trial24</t>
  </si>
  <si>
    <t>2009-09-06 Electrical continuous 10s with 0.60mA footshock - low stim amp Trial34</t>
  </si>
  <si>
    <t>2009-09-06 Electrical continuous 10s with 0.60mA footshock - low stim amp Trial35</t>
  </si>
  <si>
    <t>2009-09-06 Electrical continuous 10s with 0.60mA footshock - low stim amp Trial36</t>
  </si>
  <si>
    <t>2009-09-06 Electrical continuous 10s with 0.60mA footshock - low stim amp Trial40</t>
  </si>
  <si>
    <t>2009-09-07 Electrical continuous 10s with 0.60mA footshock Trial2</t>
  </si>
  <si>
    <t>2009-09-07 Electrical continuous 10s with 0.60mA footshock Trial5</t>
  </si>
  <si>
    <t>2009-09-07 Electrical continuous 10s with 0.60mA footshock Trial6</t>
  </si>
  <si>
    <t>2009-09-07 Electrical continuous 10s with 0.60mA footshock Trial8</t>
  </si>
  <si>
    <t>2009-09-07 Electrical continuous 10s with 0.60mA footshock Trial20</t>
  </si>
  <si>
    <t>2009-09-07 Electrical continuous 10s with 0.60mA footshock Trial21</t>
  </si>
  <si>
    <t>2009-09-07 Electrical continuous 10s with 0.60mA footshock Trial23</t>
  </si>
  <si>
    <t>2009-09-07 Electrical continuous 10s with 0.60mA footshock Trial24</t>
  </si>
  <si>
    <t>2009-09-07 Electrical continuous 10s with 0.60mA footshock Trial34</t>
  </si>
  <si>
    <t>2009-09-07 Electrical continuous 10s with 0.60mA footshock Trial37</t>
  </si>
  <si>
    <t>2009-09-07 Electrical continuous 10s with 0.60mA footshock Trial38</t>
  </si>
  <si>
    <t>2009-09-07 Electrical continuous 10s with 0.60mA footshock Trial40</t>
  </si>
  <si>
    <t>2009-08-07 (problem tank) Electrical continuous 10s with 0.60mA footshock Trial10</t>
  </si>
  <si>
    <t>2009-08-07 (problem tank) Electrical continuous 10s with 0.60mA footshock Trial12</t>
  </si>
  <si>
    <t>2009-08-07 (problem tank) Electrical continuous 10s with 0.60mA footshock Trial13</t>
  </si>
  <si>
    <t>2009-08-07 (problem tank) Electrical continuous 10s with 0.60mA footshock Trial14</t>
  </si>
  <si>
    <t>2009-08-07 (problem tank) Electrical continuous 10s with 0.60mA footshock Trial15</t>
  </si>
  <si>
    <t>2009-08-07 (problem tank) Electrical continuous 10s with 0.60mA footshock Trial16</t>
  </si>
  <si>
    <t>2009-08-07 (problem tank) Electrical continuous 10s with 0.60mA footshock Trial26</t>
  </si>
  <si>
    <t>2009-08-07 (problem tank) Electrical continuous 10s with 0.60mA footshock Trial27</t>
  </si>
  <si>
    <t>2009-08-07 (problem tank) Electrical continuous 10s with 0.60mA footshock Trial28</t>
  </si>
  <si>
    <t>2009-08-07 (problem tank) Electrical continuous 10s with 0.60mA footshock Trial29</t>
  </si>
  <si>
    <t>2009-08-07 (problem tank) Electrical continuous 10s with 0.60mA footshock Trial30</t>
  </si>
  <si>
    <t>2009-08-07 (problem tank) Electrical continuous 10s with 0.60mA footshock Trial32</t>
  </si>
  <si>
    <t>2009-08-07 (problem tank) Electrical continuous 10s with 0.60mA footshock Trial42</t>
  </si>
  <si>
    <t>2009-08-07 (problem tank) Electrical continuous 10s with 0.60mA footshock Trial43</t>
  </si>
  <si>
    <t>2009-08-07 (problem tank) Electrical continuous 10s with 0.60mA footshock Trial45</t>
  </si>
  <si>
    <t>2009-08-07 (problem tank) Electrical continuous 10s with 0.60mA footshock Trial46</t>
  </si>
  <si>
    <t>2009-08-07 (problem tank) Electrical continuous 10s with 0.60mA footshock Trial47</t>
  </si>
  <si>
    <t>2009-08-07 (problem tank) Electrical continuous 10s with 0.60mA footshock Trial48</t>
  </si>
  <si>
    <t>2009-08-14 Electrical continuous 10s with 0.60mA footshock Trial10</t>
  </si>
  <si>
    <t>2009-08-14 Electrical continuous 10s with 0.60mA footshock Trial11</t>
  </si>
  <si>
    <t>2009-08-14 Electrical continuous 10s with 0.60mA footshock Trial12</t>
  </si>
  <si>
    <t>2009-08-14 Electrical continuous 10s with 0.60mA footshock Trial13</t>
  </si>
  <si>
    <t>2009-08-14 Electrical continuous 10s with 0.60mA footshock Trial29</t>
  </si>
  <si>
    <t>2009-08-14 Electrical continuous 10s with 0.60mA footshock Trial30</t>
  </si>
  <si>
    <t>2009-08-14 Electrical continuous 10s with 0.60mA footshock Trial31</t>
  </si>
  <si>
    <t>2009-08-14 Electrical continuous 10s with 0.60mA footshock Trial32</t>
  </si>
  <si>
    <t>2009-08-14 Electrical continuous 10s with 0.60mA footshock Trial43</t>
  </si>
  <si>
    <t>2009-08-14 Electrical continuous 10s with 0.60mA footshock Trial44</t>
  </si>
  <si>
    <t>2009-08-14 Electrical continuous 10s with 0.60mA footshock Trial46</t>
  </si>
  <si>
    <t>2009-08-14 Electrical continuous 10s with 0.60mA footshock Trial48</t>
  </si>
  <si>
    <t>2009-08-20 Electrical continuous 10s with 0.60mA footshock Trial12</t>
  </si>
  <si>
    <t>2009-08-20 Electrical continuous 10s with 0.60mA footshock Trial13</t>
  </si>
  <si>
    <t>2009-08-20 Electrical continuous 10s with 0.60mA footshock Trial14</t>
  </si>
  <si>
    <t>2009-08-20 Electrical continuous 10s with 0.60mA footshock Trial15</t>
  </si>
  <si>
    <t>2009-08-20 Electrical continuous 10s with 0.60mA footshock Trial26</t>
  </si>
  <si>
    <t>2009-08-20 Electrical continuous 10s with 0.60mA footshock Trial28</t>
  </si>
  <si>
    <t>2009-08-20 Electrical continuous 10s with 0.60mA footshock Trial30</t>
  </si>
  <si>
    <t>2009-08-20 Electrical continuous 10s with 0.60mA footshock Trial32</t>
  </si>
  <si>
    <t>2009-08-20 Electrical continuous 10s with 0.60mA footshock Trial42</t>
  </si>
  <si>
    <t>2009-08-20 Electrical continuous 10s with 0.60mA footshock Trial43</t>
  </si>
  <si>
    <t>2009-08-20 Electrical continuous 10s with 0.60mA footshock Trial44</t>
  </si>
  <si>
    <t>2009-08-20 Electrical continuous 10s with 0.60mA footshock Trial47</t>
  </si>
  <si>
    <t>2009-08-30 Electrical continuous 10s with 0.60mA footshock Trial11</t>
  </si>
  <si>
    <t>2009-08-30 Electrical continuous 10s with 0.60mA footshock Trial12</t>
  </si>
  <si>
    <t>2009-08-30 Electrical continuous 10s with 0.60mA footshock Trial14</t>
  </si>
  <si>
    <t>2009-08-30 Electrical continuous 10s with 0.60mA footshock Trial15</t>
  </si>
  <si>
    <t>2009-08-30 Electrical continuous 10s with 0.60mA footshock Trial29</t>
  </si>
  <si>
    <t>2009-08-30 Electrical continuous 10s with 0.60mA footshock Trial30</t>
  </si>
  <si>
    <t>2009-08-30 Electrical continuous 10s with 0.60mA footshock Trial31</t>
  </si>
  <si>
    <t>2009-08-30 Electrical continuous 10s with 0.60mA footshock Trial32</t>
  </si>
  <si>
    <t>2009-08-30 Electrical continuous 10s with 0.60mA footshock Trial42</t>
  </si>
  <si>
    <t>2009-08-30 Electrical continuous 10s with 0.60mA footshock Trial43</t>
  </si>
  <si>
    <t>2009-08-30 Electrical continuous 10s with 0.60mA footshock Trial45</t>
  </si>
  <si>
    <t>2009-08-30 Electrical continuous 10s with 0.60mA footshock Trial47</t>
  </si>
  <si>
    <t>2009-09-01 Electrical continuous 10s with 0.60mA footshock Trial10</t>
  </si>
  <si>
    <t>2009-09-01 Electrical continuous 10s with 0.60mA footshock Trial13</t>
  </si>
  <si>
    <t>2009-09-01 Electrical continuous 10s with 0.60mA footshock Trial14</t>
  </si>
  <si>
    <t>2009-09-01 Electrical continuous 10s with 0.60mA footshock Trial16</t>
  </si>
  <si>
    <t>2009-09-01 Electrical continuous 10s with 0.60mA footshock Trial27</t>
  </si>
  <si>
    <t>2009-09-01 Electrical continuous 10s with 0.60mA footshock Trial28</t>
  </si>
  <si>
    <t>2009-09-01 Electrical continuous 10s with 0.60mA footshock Trial31</t>
  </si>
  <si>
    <t>2009-09-01 Electrical continuous 10s with 0.60mA footshock Trial32</t>
  </si>
  <si>
    <t>2009-09-01 Electrical continuous 10s with 0.60mA footshock Trial43</t>
  </si>
  <si>
    <t>2009-09-01 Electrical continuous 10s with 0.60mA footshock Trial45</t>
  </si>
  <si>
    <t>2009-09-01 Electrical continuous 10s with 0.60mA footshock Trial47</t>
  </si>
  <si>
    <t>2009-09-01 Electrical continuous 10s with 0.60mA footshock Trial48</t>
  </si>
  <si>
    <t>2009-09-02 Electrical continuous 10s with 0.60mA footshock Trial10</t>
  </si>
  <si>
    <t>2009-09-02 Electrical continuous 10s with 0.60mA footshock Trial14</t>
  </si>
  <si>
    <t>2009-09-02 Electrical continuous 10s with 0.60mA footshock Trial15</t>
  </si>
  <si>
    <t>2009-09-02 Electrical continuous 10s with 0.60mA footshock Trial16</t>
  </si>
  <si>
    <t>2009-09-02 Electrical continuous 10s with 0.60mA footshock Trial26</t>
  </si>
  <si>
    <t>2009-09-02 Electrical continuous 10s with 0.60mA footshock Trial30</t>
  </si>
  <si>
    <t>2009-09-02 Electrical continuous 10s with 0.60mA footshock Trial31</t>
  </si>
  <si>
    <t>2009-09-02 Electrical continuous 10s with 0.60mA footshock Trial32</t>
  </si>
  <si>
    <t>2009-09-02 Electrical continuous 10s with 0.60mA footshock Trial42</t>
  </si>
  <si>
    <t>2009-09-02 Electrical continuous 10s with 0.60mA footshock Trial43</t>
  </si>
  <si>
    <t>2009-09-02 Electrical continuous 10s with 0.60mA footshock Trial46</t>
  </si>
  <si>
    <t>2009-09-02 Electrical continuous 10s with 0.60mA footshock Trial48</t>
  </si>
  <si>
    <t>2009-09-03 Electrical continuous 10s with 0.60mA footshock Trial11</t>
  </si>
  <si>
    <t>2009-09-03 Electrical continuous 10s with 0.60mA footshock Trial12</t>
  </si>
  <si>
    <t>2009-09-03 Electrical continuous 10s with 0.60mA footshock Trial13</t>
  </si>
  <si>
    <t>2009-09-03 Electrical continuous 10s with 0.60mA footshock Trial15</t>
  </si>
  <si>
    <t>2009-09-03 Electrical continuous 10s with 0.60mA footshock Trial26</t>
  </si>
  <si>
    <t>2009-09-03 Electrical continuous 10s with 0.60mA footshock Trial29</t>
  </si>
  <si>
    <t>2009-09-03 Electrical continuous 10s with 0.60mA footshock Trial30</t>
  </si>
  <si>
    <t>2009-09-03 Electrical continuous 10s with 0.60mA footshock Trial31</t>
  </si>
  <si>
    <t>2009-09-03 Electrical continuous 10s with 0.60mA footshock Trial42</t>
  </si>
  <si>
    <t>2009-09-03 Electrical continuous 10s with 0.60mA footshock Trial45</t>
  </si>
  <si>
    <t>2009-09-03 Electrical continuous 10s with 0.60mA footshock Trial46</t>
  </si>
  <si>
    <t>2009-09-03 Electrical continuous 10s with 0.60mA footshock Trial47</t>
  </si>
  <si>
    <t>2009-09-04 Electrical continuous 10s with 0.60mA footshock Trial10</t>
  </si>
  <si>
    <t>2009-09-04 Electrical continuous 10s with 0.60mA footshock Trial14</t>
  </si>
  <si>
    <t>2009-09-04 Electrical continuous 10s with 0.60mA footshock Trial15</t>
  </si>
  <si>
    <t>2009-09-04 Electrical continuous 10s with 0.60mA footshock Trial16</t>
  </si>
  <si>
    <t>2009-09-04 Electrical continuous 10s with 0.60mA footshock Trial27</t>
  </si>
  <si>
    <t>2009-09-04 Electrical continuous 10s with 0.60mA footshock Trial30</t>
  </si>
  <si>
    <t>2009-09-04 Electrical continuous 10s with 0.60mA footshock Trial31</t>
  </si>
  <si>
    <t>2009-09-04 Electrical continuous 10s with 0.60mA footshock Trial32</t>
  </si>
  <si>
    <t>2009-09-04 Electrical continuous 10s with 0.60mA footshock Trial44</t>
  </si>
  <si>
    <t>2009-09-04 Electrical continuous 10s with 0.60mA footshock Trial46</t>
  </si>
  <si>
    <t>2009-09-04 Electrical continuous 10s with 0.60mA footshock Trial47</t>
  </si>
  <si>
    <t>2009-09-04 Electrical continuous 10s with 0.60mA footshock Trial48</t>
  </si>
  <si>
    <t>2009-09-06 Electrical continuous 10s with 0.60mA footshock - low stim amp Trial10</t>
  </si>
  <si>
    <t>2009-09-06 Electrical continuous 10s with 0.60mA footshock - low stim amp Trial11</t>
  </si>
  <si>
    <t>2009-09-06 Electrical continuous 10s with 0.60mA footshock - low stim amp Trial12</t>
  </si>
  <si>
    <t>2009-09-06 Electrical continuous 10s with 0.60mA footshock - low stim amp Trial15</t>
  </si>
  <si>
    <t>2009-09-06 Electrical continuous 10s with 0.60mA footshock - low stim amp Trial26</t>
  </si>
  <si>
    <t>2009-09-06 Electrical continuous 10s with 0.60mA footshock - low stim amp Trial28</t>
  </si>
  <si>
    <t>2009-09-06 Electrical continuous 10s with 0.60mA footshock - low stim amp Trial31</t>
  </si>
  <si>
    <t>2009-09-06 Electrical continuous 10s with 0.60mA footshock - low stim amp Trial32</t>
  </si>
  <si>
    <t>2009-09-06 Electrical continuous 10s with 0.60mA footshock - low stim amp Trial44</t>
  </si>
  <si>
    <t>2009-09-06 Electrical continuous 10s with 0.60mA footshock - low stim amp Trial45</t>
  </si>
  <si>
    <t>2009-09-06 Electrical continuous 10s with 0.60mA footshock - low stim amp Trial46</t>
  </si>
  <si>
    <t>2009-09-06 Electrical continuous 10s with 0.60mA footshock - low stim amp Trial48</t>
  </si>
  <si>
    <t>2009-09-07 Electrical continuous 10s with 0.60mA footshock Trial11</t>
  </si>
  <si>
    <t>2009-09-07 Electrical continuous 10s with 0.60mA footshock Trial13</t>
  </si>
  <si>
    <t>2009-09-07 Electrical continuous 10s with 0.60mA footshock Trial14</t>
  </si>
  <si>
    <t>2009-09-07 Electrical continuous 10s with 0.60mA footshock Trial15</t>
  </si>
  <si>
    <t>2009-09-07 Electrical continuous 10s with 0.60mA footshock Trial28</t>
  </si>
  <si>
    <t>2009-09-07 Electrical continuous 10s with 0.60mA footshock Trial30</t>
  </si>
  <si>
    <t>2009-09-07 Electrical continuous 10s with 0.60mA footshock Trial31</t>
  </si>
  <si>
    <t>2009-09-07 Electrical continuous 10s with 0.60mA footshock Trial32</t>
  </si>
  <si>
    <t>2009-09-07 Electrical continuous 10s with 0.60mA footshock Trial43</t>
  </si>
  <si>
    <t>2009-09-07 Electrical continuous 10s with 0.60mA footshock Trial44</t>
  </si>
  <si>
    <t>2009-09-07 Electrical continuous 10s with 0.60mA footshock Trial46</t>
  </si>
  <si>
    <t>2009-09-07 Electrical continuous 10s with 0.60mA footshock Trial47</t>
  </si>
  <si>
    <t>2009-09-10 Electrical continuous 10s with 0.60mA footshock Trial2</t>
  </si>
  <si>
    <t>2009-09-10 Electrical continuous 10s with 0.60mA footshock Trial4</t>
  </si>
  <si>
    <t>2009-09-10 Electrical continuous 10s with 0.60mA footshock Trial5</t>
  </si>
  <si>
    <t>2009-09-10 Electrical continuous 10s with 0.60mA footshock Trial8</t>
  </si>
  <si>
    <t>2009-09-10 Electrical continuous 10s with 0.60mA footshock Trial19</t>
  </si>
  <si>
    <t>2009-09-10 Electrical continuous 10s with 0.60mA footshock Trial20</t>
  </si>
  <si>
    <t>2009-09-10 Electrical continuous 10s with 0.60mA footshock Trial21</t>
  </si>
  <si>
    <t>2009-09-10 Electrical continuous 10s with 0.60mA footshock Trial24</t>
  </si>
  <si>
    <t>2009-09-10 Electrical continuous 10s with 0.60mA footshock Trial10</t>
  </si>
  <si>
    <t>2009-09-10 Electrical continuous 10s with 0.60mA footshock Trial11</t>
  </si>
  <si>
    <t>2009-09-10 Electrical continuous 10s with 0.60mA footshock Trial14</t>
  </si>
  <si>
    <t>2009-09-10 Electrical continuous 10s with 0.60mA footshock Trial16</t>
  </si>
  <si>
    <t>2009-09-10 Electrical continuous 10s with 0.60mA footshock Trial26</t>
  </si>
  <si>
    <t>2009-09-10 Electrical continuous 10s with 0.60mA footshock Trial27</t>
  </si>
  <si>
    <t>2009-09-10 Electrical continuous 10s with 0.60mA footshock Trial29</t>
  </si>
  <si>
    <t>2009-09-10 Electrical continuous 10s with 0.60mA footshock Trial31</t>
  </si>
  <si>
    <t>2009-09-10 Electrical continuous 10s with 0.60mA footshock Trial34</t>
  </si>
  <si>
    <t>2009-09-10 Electrical continuous 10s with 0.60mA footshock Trial35</t>
  </si>
  <si>
    <t>2009-09-10 Electrical continuous 10s with 0.60mA footshock Trial37</t>
  </si>
  <si>
    <t>2009-09-10 Electrical continuous 10s with 0.60mA footshock Trial40</t>
  </si>
  <si>
    <t>2009-09-10 Electrical continuous 10s with 0.60mA footshock Trial43</t>
  </si>
  <si>
    <t>2009-09-10 Electrical continuous 10s with 0.60mA footshock Trial45</t>
  </si>
  <si>
    <t>2009-09-10 Electrical continuous 10s with 0.60mA footshock Trial46</t>
  </si>
  <si>
    <t>2009-09-10 Electrical continuous 10s with 0.60mA footshock Trial47</t>
  </si>
  <si>
    <t>2009-08-03 Auditory continuous 10s with 0.60mA footshock Trial1</t>
  </si>
  <si>
    <t>2009-08-03 Auditory continuous 10s with 0.60mA footshock Trial2</t>
  </si>
  <si>
    <t>2009-08-03 Auditory continuous 10s with 0.60mA footshock Trial3</t>
  </si>
  <si>
    <t>2009-08-03 Auditory continuous 10s with 0.60mA footshock Trial4</t>
  </si>
  <si>
    <t>2009-08-03 Auditory continuous 10s with 0.60mA footshock Trial5</t>
  </si>
  <si>
    <t>2009-08-03 Auditory continuous 10s with 0.60mA footshock Trial6</t>
  </si>
  <si>
    <t>2009-08-03 Auditory continuous 10s with 0.60mA footshock Trial7</t>
  </si>
  <si>
    <t>2009-08-03 Auditory continuous 10s with 0.60mA footshock Trial8</t>
  </si>
  <si>
    <t>2009-08-03 Auditory continuous 10s with 0.60mA footshock Trial9</t>
  </si>
  <si>
    <t>2009-08-03 Auditory continuous 10s with 0.60mA footshock Trial10</t>
  </si>
  <si>
    <t>2009-08-03 Auditory continuous 10s with 0.60mA footshock Trial11</t>
  </si>
  <si>
    <t>2009-08-03 Auditory continuous 10s with 0.60mA footshock Trial12</t>
  </si>
  <si>
    <t>2009-08-03 Auditory continuous 10s with 0.60mA footshock Trial13</t>
  </si>
  <si>
    <t>2009-08-03 Auditory continuous 10s with 0.60mA footshock Trial14</t>
  </si>
  <si>
    <t>2009-08-03 Auditory continuous 10s with 0.60mA footshock Trial15</t>
  </si>
  <si>
    <t>2009-08-03 Auditory continuous 10s with 0.60mA footshock Trial16</t>
  </si>
  <si>
    <t>2009-08-03 Auditory continuous 10s with 0.60mA footshock Trial17</t>
  </si>
  <si>
    <t>2009-08-03 Auditory continuous 10s with 0.60mA footshock Trial18</t>
  </si>
  <si>
    <t>2009-08-03 Auditory continuous 10s with 0.60mA footshock Trial19</t>
  </si>
  <si>
    <t>2009-08-03 Auditory continuous 10s with 0.60mA footshock Trial20</t>
  </si>
  <si>
    <t>2009-08-03 Auditory continuous 10s with 0.60mA footshock Trial21</t>
  </si>
  <si>
    <t>2009-08-03 Auditory continuous 10s with 0.60mA footshock Trial22</t>
  </si>
  <si>
    <t>2009-08-03 Auditory continuous 10s with 0.60mA footshock Trial23</t>
  </si>
  <si>
    <t>2009-08-03 Auditory continuous 10s with 0.60mA footshock Trial24</t>
  </si>
  <si>
    <t>2009-08-03 Auditory continuous 10s with 0.60mA footshock Trial25</t>
  </si>
  <si>
    <t>2009-08-03 Auditory continuous 10s with 0.60mA footshock Trial26</t>
  </si>
  <si>
    <t>2009-08-03 Auditory continuous 10s with 0.60mA footshock Trial27</t>
  </si>
  <si>
    <t>2009-08-03 Auditory continuous 10s with 0.60mA footshock Trial28</t>
  </si>
  <si>
    <t>2009-08-03 Auditory continuous 10s with 0.60mA footshock Trial29</t>
  </si>
  <si>
    <t>2009-08-03 Auditory continuous 10s with 0.60mA footshock Trial30</t>
  </si>
  <si>
    <t>2009-08-03 Auditory continuous 10s with 0.60mA footshock Trial31</t>
  </si>
  <si>
    <t>2009-08-03 Auditory continuous 10s with 0.60mA footshock Trial32</t>
  </si>
  <si>
    <t>2009-08-03 Auditory continuous 10s with 0.60mA footshock Trial33</t>
  </si>
  <si>
    <t>2009-08-03 Auditory continuous 10s with 0.60mA footshock Trial34</t>
  </si>
  <si>
    <t>2009-08-03 Auditory continuous 10s with 0.60mA footshock Trial35</t>
  </si>
  <si>
    <t>2009-08-03 Auditory continuous 10s with 0.60mA footshock Trial36</t>
  </si>
  <si>
    <t>2009-08-03 Auditory continuous 10s with 0.60mA footshock Trial37</t>
  </si>
  <si>
    <t>2009-08-03 Auditory continuous 10s with 0.60mA footshock Trial38</t>
  </si>
  <si>
    <t>2009-08-03 Auditory continuous 10s with 0.60mA footshock Trial39</t>
  </si>
  <si>
    <t>2009-08-03 Auditory continuous 10s with 0.60mA footshock Trial40</t>
  </si>
  <si>
    <t>2009-08-03 Auditory continuous 10s with 0.60mA footshock Trial41</t>
  </si>
  <si>
    <t>2009-08-03 Auditory continuous 10s with 0.60mA footshock Trial42</t>
  </si>
  <si>
    <t>2009-08-03 Auditory continuous 10s with 0.60mA footshock Trial43</t>
  </si>
  <si>
    <t>2009-08-03 Auditory continuous 10s with 0.60mA footshock Trial44</t>
  </si>
  <si>
    <t>2009-08-03 Auditory continuous 10s with 0.60mA footshock Trial45</t>
  </si>
  <si>
    <t>2009-08-03 Auditory continuous 10s with 0.60mA footshock Trial46</t>
  </si>
  <si>
    <t>2009-08-03 Auditory continuous 10s with 0.60mA footshock Trial47</t>
  </si>
  <si>
    <t>2009-08-03 Auditory continuous 10s with 0.60mA footshock Trial48</t>
  </si>
  <si>
    <t>2009-07-22 Auditory continuous 10s with 0.60mA footshock Trial1</t>
  </si>
  <si>
    <t>2009-07-22 Auditory continuous 10s with 0.60mA footshock Trial2</t>
  </si>
  <si>
    <t>2009-07-22 Auditory continuous 10s with 0.60mA footshock Trial3</t>
  </si>
  <si>
    <t>2009-07-22 Auditory continuous 10s with 0.60mA footshock Trial4</t>
  </si>
  <si>
    <t>2009-07-24 Auditory continuous 10s with 0.60mA footshock Trial1</t>
  </si>
  <si>
    <t>2009-07-24 Auditory continuous 10s with 0.60mA footshock Trial2</t>
  </si>
  <si>
    <t>2009-07-24 Auditory continuous 10s with 0.60mA footshock Trial3</t>
  </si>
  <si>
    <t>2009-07-24 Auditory continuous 10s with 0.60mA footshock Trial4</t>
  </si>
  <si>
    <t>2009-07-31 Auditory continuous 10s with 0.60mA footshock Trial1</t>
  </si>
  <si>
    <t>2009-07-31 Auditory continuous 10s with 0.60mA footshock Trial2</t>
  </si>
  <si>
    <t>2009-07-31 Auditory continuous 10s with 0.60mA footshock Trial3</t>
  </si>
  <si>
    <t>2009-07-31 Auditory continuous 10s with 0.60mA footshock Trial4</t>
  </si>
  <si>
    <t>2009-07-22 Auditory continuous 10s with 0.60mA footshock Trial5</t>
  </si>
  <si>
    <t>2009-07-22 Auditory continuous 10s with 0.60mA footshock Trial6</t>
  </si>
  <si>
    <t>2009-07-22 Auditory continuous 10s with 0.60mA footshock Trial7</t>
  </si>
  <si>
    <t>2009-07-22 Auditory continuous 10s with 0.60mA footshock Trial8</t>
  </si>
  <si>
    <t>2009-07-24 Auditory continuous 10s with 0.60mA footshock Trial5</t>
  </si>
  <si>
    <t>2009-07-24 Auditory continuous 10s with 0.60mA footshock Trial6</t>
  </si>
  <si>
    <t>2009-07-24 Auditory continuous 10s with 0.60mA footshock Trial7</t>
  </si>
  <si>
    <t>2009-07-24 Auditory continuous 10s with 0.60mA footshock Trial8</t>
  </si>
  <si>
    <t>2009-07-31 Auditory continuous 10s with 0.60mA footshock Trial5</t>
  </si>
  <si>
    <t>2009-07-31 Auditory continuous 10s with 0.60mA footshock Trial6</t>
  </si>
  <si>
    <t>2009-07-31 Auditory continuous 10s with 0.60mA footshock Trial7</t>
  </si>
  <si>
    <t>2009-07-31 Auditory continuous 10s with 0.60mA footshock Trial8</t>
  </si>
  <si>
    <t>2009-07-22 Auditory continuous 10s with 0.60mA footshock Trial9</t>
  </si>
  <si>
    <t>2009-07-22 Auditory continuous 10s with 0.60mA footshock Trial10</t>
  </si>
  <si>
    <t>2009-07-22 Auditory continuous 10s with 0.60mA footshock Trial11</t>
  </si>
  <si>
    <t>2009-07-22 Auditory continuous 10s with 0.60mA footshock Trial12</t>
  </si>
  <si>
    <t>2009-07-24 Auditory continuous 10s with 0.60mA footshock Trial9</t>
  </si>
  <si>
    <t>2009-07-24 Auditory continuous 10s with 0.60mA footshock Trial10</t>
  </si>
  <si>
    <t>2009-07-24 Auditory continuous 10s with 0.60mA footshock Trial11</t>
  </si>
  <si>
    <t>2009-07-24 Auditory continuous 10s with 0.60mA footshock Trial12</t>
  </si>
  <si>
    <t>2009-07-31 Auditory continuous 10s with 0.60mA footshock Trial9</t>
  </si>
  <si>
    <t>2009-07-31 Auditory continuous 10s with 0.60mA footshock Trial10</t>
  </si>
  <si>
    <t>2009-07-31 Auditory continuous 10s with 0.60mA footshock Trial11</t>
  </si>
  <si>
    <t>2009-07-31 Auditory continuous 10s with 0.60mA footshock Trial12</t>
  </si>
  <si>
    <t>2009-07-22 Auditory continuous 10s with 0.60mA footshock Trial13</t>
  </si>
  <si>
    <t>2009-07-22 Auditory continuous 10s with 0.60mA footshock Trial14</t>
  </si>
  <si>
    <t>2009-07-22 Auditory continuous 10s with 0.60mA footshock Trial15</t>
  </si>
  <si>
    <t>2009-07-22 Auditory continuous 10s with 0.60mA footshock Trial16</t>
  </si>
  <si>
    <t>2009-07-24 Auditory continuous 10s with 0.60mA footshock Trial13</t>
  </si>
  <si>
    <t>2009-07-24 Auditory continuous 10s with 0.60mA footshock Trial14</t>
  </si>
  <si>
    <t>2009-07-24 Auditory continuous 10s with 0.60mA footshock Trial15</t>
  </si>
  <si>
    <t>2009-07-24 Auditory continuous 10s with 0.60mA footshock Trial16</t>
  </si>
  <si>
    <t>2009-07-31 Auditory continuous 10s with 0.60mA footshock Trial13</t>
  </si>
  <si>
    <t>2009-07-31 Auditory continuous 10s with 0.60mA footshock Trial14</t>
  </si>
  <si>
    <t>2009-07-31 Auditory continuous 10s with 0.60mA footshock Trial15</t>
  </si>
  <si>
    <t>2009-07-31 Auditory continuous 10s with 0.60mA footshock Trial16</t>
  </si>
  <si>
    <t>2009-07-22 Auditory continuous 10s with 0.60mA footshock Trial17</t>
  </si>
  <si>
    <t>2009-07-22 Auditory continuous 10s with 0.60mA footshock Trial18</t>
  </si>
  <si>
    <t>2009-07-22 Auditory continuous 10s with 0.60mA footshock Trial19</t>
  </si>
  <si>
    <t>2009-07-22 Auditory continuous 10s with 0.60mA footshock Trial20</t>
  </si>
  <si>
    <t>2009-07-24 Auditory continuous 10s with 0.60mA footshock Trial17</t>
  </si>
  <si>
    <t>2009-07-24 Auditory continuous 10s with 0.60mA footshock Trial18</t>
  </si>
  <si>
    <t>2009-07-24 Auditory continuous 10s with 0.60mA footshock Trial19</t>
  </si>
  <si>
    <t>2009-07-24 Auditory continuous 10s with 0.60mA footshock Trial20</t>
  </si>
  <si>
    <t>2009-07-31 Auditory continuous 10s with 0.60mA footshock Trial17</t>
  </si>
  <si>
    <t>2009-07-31 Auditory continuous 10s with 0.60mA footshock Trial18</t>
  </si>
  <si>
    <t>2009-07-31 Auditory continuous 10s with 0.60mA footshock Trial19</t>
  </si>
  <si>
    <t>2009-07-31 Auditory continuous 10s with 0.60mA footshock Trial20</t>
  </si>
  <si>
    <t>2009-07-22 Auditory continuous 10s with 0.60mA footshock Trial21</t>
  </si>
  <si>
    <t>2009-07-22 Auditory continuous 10s with 0.60mA footshock Trial22</t>
  </si>
  <si>
    <t>2009-07-22 Auditory continuous 10s with 0.60mA footshock Trial23</t>
  </si>
  <si>
    <t>2009-07-22 Auditory continuous 10s with 0.60mA footshock Trial24</t>
  </si>
  <si>
    <t>2009-07-24 Auditory continuous 10s with 0.60mA footshock Trial21</t>
  </si>
  <si>
    <t>2009-07-24 Auditory continuous 10s with 0.60mA footshock Trial22</t>
  </si>
  <si>
    <t>2009-07-24 Auditory continuous 10s with 0.60mA footshock Trial23</t>
  </si>
  <si>
    <t>2009-07-24 Auditory continuous 10s with 0.60mA footshock Trial24</t>
  </si>
  <si>
    <t>2009-07-31 Auditory continuous 10s with 0.60mA footshock Trial21</t>
  </si>
  <si>
    <t>2009-07-31 Auditory continuous 10s with 0.60mA footshock Trial22</t>
  </si>
  <si>
    <t>2009-07-31 Auditory continuous 10s with 0.60mA footshock Trial23</t>
  </si>
  <si>
    <t>2009-07-31 Auditory continuous 10s with 0.60mA footshock Trial24</t>
  </si>
  <si>
    <t>2009-07-22 Auditory continuous 10s with 0.60mA footshock Trial25</t>
  </si>
  <si>
    <t>2009-07-22 Auditory continuous 10s with 0.60mA footshock Trial26</t>
  </si>
  <si>
    <t>2009-07-22 Auditory continuous 10s with 0.60mA footshock Trial27</t>
  </si>
  <si>
    <t>2009-07-22 Auditory continuous 10s with 0.60mA footshock Trial28</t>
  </si>
  <si>
    <t>2009-07-24 Auditory continuous 10s with 0.60mA footshock Trial25</t>
  </si>
  <si>
    <t>2009-07-24 Auditory continuous 10s with 0.60mA footshock Trial26</t>
  </si>
  <si>
    <t>2009-07-24 Auditory continuous 10s with 0.60mA footshock Trial27</t>
  </si>
  <si>
    <t>2009-07-24 Auditory continuous 10s with 0.60mA footshock Trial28</t>
  </si>
  <si>
    <t>2009-07-31 Auditory continuous 10s with 0.60mA footshock Trial25</t>
  </si>
  <si>
    <t>2009-07-31 Auditory continuous 10s with 0.60mA footshock Trial26</t>
  </si>
  <si>
    <t>2009-07-31 Auditory continuous 10s with 0.60mA footshock Trial27</t>
  </si>
  <si>
    <t>2009-07-31 Auditory continuous 10s with 0.60mA footshock Trial28</t>
  </si>
  <si>
    <t>2009-07-22 Auditory continuous 10s with 0.60mA footshock Trial29</t>
  </si>
  <si>
    <t>2009-07-22 Auditory continuous 10s with 0.60mA footshock Trial30</t>
  </si>
  <si>
    <t>2009-07-22 Auditory continuous 10s with 0.60mA footshock Trial31</t>
  </si>
  <si>
    <t>2009-07-22 Auditory continuous 10s with 0.60mA footshock Trial32</t>
  </si>
  <si>
    <t>2009-07-24 Auditory continuous 10s with 0.60mA footshock Trial29</t>
  </si>
  <si>
    <t>2009-07-24 Auditory continuous 10s with 0.60mA footshock Trial30</t>
  </si>
  <si>
    <t>2009-07-24 Auditory continuous 10s with 0.60mA footshock Trial31</t>
  </si>
  <si>
    <t>2009-07-24 Auditory continuous 10s with 0.60mA footshock Trial32</t>
  </si>
  <si>
    <t>2009-07-31 Auditory continuous 10s with 0.60mA footshock Trial29</t>
  </si>
  <si>
    <t>2009-07-31 Auditory continuous 10s with 0.60mA footshock Trial30</t>
  </si>
  <si>
    <t>2009-07-31 Auditory continuous 10s with 0.60mA footshock Trial31</t>
  </si>
  <si>
    <t>2009-07-31 Auditory continuous 10s with 0.60mA footshock Trial32</t>
  </si>
  <si>
    <t>2009-07-22 Auditory continuous 10s with 0.60mA footshock Trial33</t>
  </si>
  <si>
    <t>2009-07-22 Auditory continuous 10s with 0.60mA footshock Trial34</t>
  </si>
  <si>
    <t>2009-07-22 Auditory continuous 10s with 0.60mA footshock Trial35</t>
  </si>
  <si>
    <t>2009-07-22 Auditory continuous 10s with 0.60mA footshock Trial36</t>
  </si>
  <si>
    <t>2009-07-24 Auditory continuous 10s with 0.60mA footshock Trial33</t>
  </si>
  <si>
    <t>2009-07-24 Auditory continuous 10s with 0.60mA footshock Trial34</t>
  </si>
  <si>
    <t>2009-07-24 Auditory continuous 10s with 0.60mA footshock Trial35</t>
  </si>
  <si>
    <t>2009-07-24 Auditory continuous 10s with 0.60mA footshock Trial36</t>
  </si>
  <si>
    <t>2009-07-31 Auditory continuous 10s with 0.60mA footshock Trial33</t>
  </si>
  <si>
    <t>2009-07-31 Auditory continuous 10s with 0.60mA footshock Trial34</t>
  </si>
  <si>
    <t>2009-07-31 Auditory continuous 10s with 0.60mA footshock Trial35</t>
  </si>
  <si>
    <t>2009-07-31 Auditory continuous 10s with 0.60mA footshock Trial36</t>
  </si>
  <si>
    <t>2009-07-22 Auditory continuous 10s with 0.60mA footshock Trial37</t>
  </si>
  <si>
    <t>2009-07-22 Auditory continuous 10s with 0.60mA footshock Trial38</t>
  </si>
  <si>
    <t>2009-07-22 Auditory continuous 10s with 0.60mA footshock Trial39</t>
  </si>
  <si>
    <t>2009-07-22 Auditory continuous 10s with 0.60mA footshock Trial40</t>
  </si>
  <si>
    <t>2009-07-24 Auditory continuous 10s with 0.60mA footshock Trial37</t>
  </si>
  <si>
    <t>2009-07-24 Auditory continuous 10s with 0.60mA footshock Trial38</t>
  </si>
  <si>
    <t>2009-07-24 Auditory continuous 10s with 0.60mA footshock Trial39</t>
  </si>
  <si>
    <t>2009-07-24 Auditory continuous 10s with 0.60mA footshock Trial40</t>
  </si>
  <si>
    <t>2009-07-31 Auditory continuous 10s with 0.60mA footshock Trial37</t>
  </si>
  <si>
    <t>2009-07-31 Auditory continuous 10s with 0.60mA footshock Trial38</t>
  </si>
  <si>
    <t>2009-07-31 Auditory continuous 10s with 0.60mA footshock Trial39</t>
  </si>
  <si>
    <t>2009-07-31 Auditory continuous 10s with 0.60mA footshock Trial40</t>
  </si>
  <si>
    <t>2009-07-22 Auditory continuous 10s with 0.60mA footshock Trial41</t>
  </si>
  <si>
    <t>2009-07-22 Auditory continuous 10s with 0.60mA footshock Trial42</t>
  </si>
  <si>
    <t>2009-07-22 Auditory continuous 10s with 0.60mA footshock Trial43</t>
  </si>
  <si>
    <t>2009-07-22 Auditory continuous 10s with 0.60mA footshock Trial44</t>
  </si>
  <si>
    <t>2009-07-24 Auditory continuous 10s with 0.60mA footshock Trial41</t>
  </si>
  <si>
    <t>2009-07-24 Auditory continuous 10s with 0.60mA footshock Trial42</t>
  </si>
  <si>
    <t>2009-07-24 Auditory continuous 10s with 0.60mA footshock Trial43</t>
  </si>
  <si>
    <t>2009-07-24 Auditory continuous 10s with 0.60mA footshock Trial44</t>
  </si>
  <si>
    <t>2009-07-31 Auditory continuous 10s with 0.60mA footshock Trial41</t>
  </si>
  <si>
    <t>2009-07-31 Auditory continuous 10s with 0.60mA footshock Trial42</t>
  </si>
  <si>
    <t>2009-07-31 Auditory continuous 10s with 0.60mA footshock Trial43</t>
  </si>
  <si>
    <t>2009-07-31 Auditory continuous 10s with 0.60mA footshock Trial44</t>
  </si>
  <si>
    <t>2009-07-22 Auditory continuous 10s with 0.60mA footshock Trial45</t>
  </si>
  <si>
    <t>2009-07-22 Auditory continuous 10s with 0.60mA footshock Trial46</t>
  </si>
  <si>
    <t>2009-07-22 Auditory continuous 10s with 0.60mA footshock Trial47</t>
  </si>
  <si>
    <t>2009-07-22 Auditory continuous 10s with 0.60mA footshock Trial48</t>
  </si>
  <si>
    <t>2009-07-24 Auditory continuous 10s with 0.60mA footshock Trial45</t>
  </si>
  <si>
    <t>2009-07-24 Auditory continuous 10s with 0.60mA footshock Trial46</t>
  </si>
  <si>
    <t>2009-07-24 Auditory continuous 10s with 0.60mA footshock Trial47</t>
  </si>
  <si>
    <t>2009-07-24 Auditory continuous 10s with 0.60mA footshock Trial48</t>
  </si>
  <si>
    <t>2009-07-31 Auditory continuous 10s with 0.60mA footshock Trial45</t>
  </si>
  <si>
    <t>2009-07-31 Auditory continuous 10s with 0.60mA footshock Trial46</t>
  </si>
  <si>
    <t>2009-07-31 Auditory continuous 10s with 0.60mA footshock Trial47</t>
  </si>
  <si>
    <t>2009-07-31 Auditory continuous 10s with 0.60mA footshock Trial48</t>
  </si>
  <si>
    <t>2009-09-02 Auditory continuous 10s with 0.60mA footshock Trial1</t>
  </si>
  <si>
    <t>2009-09-02 Auditory continuous 10s with 0.60mA footshock Trial2</t>
  </si>
  <si>
    <t>2009-09-02 Auditory continuous 10s with 0.60mA footshock Trial3</t>
  </si>
  <si>
    <t>2009-09-02 Auditory continuous 10s with 0.60mA footshock Trial4</t>
  </si>
  <si>
    <t>2009-09-03 Acoustic continuous 10s with 0.60mA footshock Trial1</t>
  </si>
  <si>
    <t>2009-09-03 Acoustic continuous 10s with 0.60mA footshock Trial2</t>
  </si>
  <si>
    <t>2009-09-03 Acoustic continuous 10s with 0.60mA footshock Trial3</t>
  </si>
  <si>
    <t>2009-09-03 Acoustic continuous 10s with 0.60mA footshock Trial4</t>
  </si>
  <si>
    <t>2009-09-02 Auditory continuous 10s with 0.60mA footshock Trial5</t>
  </si>
  <si>
    <t>2009-09-02 Auditory continuous 10s with 0.60mA footshock Trial6</t>
  </si>
  <si>
    <t>2009-09-02 Auditory continuous 10s with 0.60mA footshock Trial7</t>
  </si>
  <si>
    <t>2009-09-02 Auditory continuous 10s with 0.60mA footshock Trial8</t>
  </si>
  <si>
    <t>2009-09-03 Acoustic continuous 10s with 0.60mA footshock Trial5</t>
  </si>
  <si>
    <t>2009-09-03 Acoustic continuous 10s with 0.60mA footshock Trial6</t>
  </si>
  <si>
    <t>2009-09-03 Acoustic continuous 10s with 0.60mA footshock Trial7</t>
  </si>
  <si>
    <t>2009-09-03 Acoustic continuous 10s with 0.60mA footshock Trial8</t>
  </si>
  <si>
    <t>2009-09-02 Auditory continuous 10s with 0.60mA footshock Trial9</t>
  </si>
  <si>
    <t>2009-09-02 Auditory continuous 10s with 0.60mA footshock Trial10</t>
  </si>
  <si>
    <t>2009-09-02 Auditory continuous 10s with 0.60mA footshock Trial11</t>
  </si>
  <si>
    <t>2009-09-02 Auditory continuous 10s with 0.60mA footshock Trial12</t>
  </si>
  <si>
    <t>2009-09-03 Acoustic continuous 10s with 0.60mA footshock Trial9</t>
  </si>
  <si>
    <t>2009-09-03 Acoustic continuous 10s with 0.60mA footshock Trial10</t>
  </si>
  <si>
    <t>2009-09-03 Acoustic continuous 10s with 0.60mA footshock Trial11</t>
  </si>
  <si>
    <t>2009-09-03 Acoustic continuous 10s with 0.60mA footshock Trial12</t>
  </si>
  <si>
    <t>2009-09-02 Auditory continuous 10s with 0.60mA footshock Trial13</t>
  </si>
  <si>
    <t>2009-09-02 Auditory continuous 10s with 0.60mA footshock Trial14</t>
  </si>
  <si>
    <t>2009-09-02 Auditory continuous 10s with 0.60mA footshock Trial15</t>
  </si>
  <si>
    <t>2009-09-02 Auditory continuous 10s with 0.60mA footshock Trial16</t>
  </si>
  <si>
    <t>2009-09-02 Auditory continuous 10s with 0.60mA footshock Trial45</t>
  </si>
  <si>
    <t>2009-09-02 Auditory continuous 10s with 0.60mA footshock Trial46</t>
  </si>
  <si>
    <t>2009-09-02 Auditory continuous 10s with 0.60mA footshock Trial47</t>
  </si>
  <si>
    <t>2009-09-02 Auditory continuous 10s with 0.60mA footshock Trial48</t>
  </si>
  <si>
    <t>2009-09-03 Acoustic continuous 10s with 0.60mA footshock Trial13</t>
  </si>
  <si>
    <t>2009-09-03 Acoustic continuous 10s with 0.60mA footshock Trial14</t>
  </si>
  <si>
    <t>2009-09-03 Acoustic continuous 10s with 0.60mA footshock Trial15</t>
  </si>
  <si>
    <t>2009-09-03 Acoustic continuous 10s with 0.60mA footshock Trial16</t>
  </si>
  <si>
    <t>2009-09-03 Acoustic continuous 10s with 0.60mA footshock Trial45</t>
  </si>
  <si>
    <t>2009-09-03 Acoustic continuous 10s with 0.60mA footshock Trial46</t>
  </si>
  <si>
    <t>2009-09-03 Acoustic continuous 10s with 0.60mA footshock Trial47</t>
  </si>
  <si>
    <t>2009-09-03 Acoustic continuous 10s with 0.60mA footshock Trial48</t>
  </si>
  <si>
    <t>2009-09-02 Auditory continuous 10s with 0.60mA footshock Trial17</t>
  </si>
  <si>
    <t>2009-09-02 Auditory continuous 10s with 0.60mA footshock Trial18</t>
  </si>
  <si>
    <t>2009-09-02 Auditory continuous 10s with 0.60mA footshock Trial19</t>
  </si>
  <si>
    <t>2009-09-02 Auditory continuous 10s with 0.60mA footshock Trial20</t>
  </si>
  <si>
    <t>2009-09-03 Acoustic continuous 10s with 0.60mA footshock Trial17</t>
  </si>
  <si>
    <t>2009-09-03 Acoustic continuous 10s with 0.60mA footshock Trial18</t>
  </si>
  <si>
    <t>2009-09-03 Acoustic continuous 10s with 0.60mA footshock Trial19</t>
  </si>
  <si>
    <t>2009-09-03 Acoustic continuous 10s with 0.60mA footshock Trial20</t>
  </si>
  <si>
    <t>2009-09-10 Electrical cont.. stim-ref across shanks Trial1</t>
  </si>
  <si>
    <t>2009-09-10 Electrical cont.. stim-ref across shanks Trial3</t>
  </si>
  <si>
    <t>2009-09-10 Electrical cont.. stim-ref across shanks Trial6</t>
  </si>
  <si>
    <t>2009-09-10 Electrical cont.. stim-ref across shanks Trial7</t>
  </si>
  <si>
    <t>2009-09-10 Electrical cont.. stim-ref across shanks Trial9</t>
  </si>
  <si>
    <t>2009-09-10 Electrical cont.. stim-ref across shanks Trial14</t>
  </si>
  <si>
    <t>2009-09-10 Electrical cont.. stim-ref across shanks Trial15</t>
  </si>
  <si>
    <t>2009-09-10 Electrical cont.. stim-ref across shanks Trial16</t>
  </si>
  <si>
    <t>2009-09-10 Electrical cont.. stim-ref across shanks Trial17</t>
  </si>
  <si>
    <t>2009-09-10 Electrical cont.. stim-ref across shanks Trial18</t>
  </si>
  <si>
    <t>2009-09-10 Electrical cont.. stim-ref across shanks Trial19</t>
  </si>
  <si>
    <t>2009-09-10 Electrical cont.. stim-ref across shanks Trial21</t>
  </si>
  <si>
    <t>2009-09-10 Electrical cont.. stim-ref across shanks Trial25</t>
  </si>
  <si>
    <t>2009-09-10 Electrical cont.. stim-ref across shanks Trial26</t>
  </si>
  <si>
    <t>2009-09-10 Electrical cont.. stim-ref across shanks Trial30</t>
  </si>
  <si>
    <t>2009-09-10 Electrical cont.. stim-ref across shanks Trial31</t>
  </si>
  <si>
    <t>2009-09-10 Electrical cont.. stim-ref across shanks Trial33</t>
  </si>
  <si>
    <t>2009-09-10 Electrical cont.. stim-ref across shanks Trial35</t>
  </si>
  <si>
    <t>2009-09-10 Electrical cont.. stim-ref across shanks Trial37</t>
  </si>
  <si>
    <t>2009-09-10 Electrical cont.. stim-ref across shanks Trial39</t>
  </si>
  <si>
    <t>2009-09-10 Electrical cont.. stim-ref across shanks Trial41</t>
  </si>
  <si>
    <t>2009-09-10 Electrical cont.. stim-ref across shanks Trial44</t>
  </si>
  <si>
    <t>2009-09-10 Electrical cont.. stim-ref across shanks Trial47</t>
  </si>
  <si>
    <t>2009-09-10 Electrical cont.. stim-ref across shanks Trial48</t>
  </si>
  <si>
    <t>2009-09-11 Electrical cont.. stim-ref across shanks Trial1</t>
  </si>
  <si>
    <t>2009-09-11 Electrical cont.. stim-ref across shanks Trial6</t>
  </si>
  <si>
    <t>2009-09-11 Electrical cont.. stim-ref across shanks Trial9</t>
  </si>
  <si>
    <t>2009-09-11 Electrical cont.. stim-ref across shanks Trial15</t>
  </si>
  <si>
    <t>2009-09-11 Electrical cont.. stim-ref across shanks Trial17</t>
  </si>
  <si>
    <t>2009-09-11 Electrical cont.. stim-ref across shanks Trial21</t>
  </si>
  <si>
    <t>2009-09-11 Electrical cont.. stim-ref across shanks Trial25</t>
  </si>
  <si>
    <t>2009-09-11 Electrical cont.. stim-ref across shanks Trial31</t>
  </si>
  <si>
    <t>2009-09-11 Electrical cont.. stim-ref across shanks Trial33</t>
  </si>
  <si>
    <t>2009-09-11 Electrical cont.. stim-ref across shanks Trial35</t>
  </si>
  <si>
    <t>2009-09-11 Electrical cont.. stim-ref across shanks Trial41</t>
  </si>
  <si>
    <t>2009-09-11 Electrical cont.. stim-ref across shanks Trial43</t>
  </si>
  <si>
    <t>2009-09-02 Auditory continuous 10s with 0.60mA footshock Trial21</t>
  </si>
  <si>
    <t>2009-09-02 Auditory continuous 10s with 0.60mA footshock Trial22</t>
  </si>
  <si>
    <t>2009-09-02 Auditory continuous 10s with 0.60mA footshock Trial23</t>
  </si>
  <si>
    <t>2009-09-02 Auditory continuous 10s with 0.60mA footshock Trial24</t>
  </si>
  <si>
    <t>2009-09-03 Acoustic continuous 10s with 0.60mA footshock Trial21</t>
  </si>
  <si>
    <t>2009-09-03 Acoustic continuous 10s with 0.60mA footshock Trial22</t>
  </si>
  <si>
    <t>2009-09-03 Acoustic continuous 10s with 0.60mA footshock Trial23</t>
  </si>
  <si>
    <t>2009-09-03 Acoustic continuous 10s with 0.60mA footshock Trial24</t>
  </si>
  <si>
    <t>2009-09-02 Auditory continuous 10s with 0.60mA footshock Trial25</t>
  </si>
  <si>
    <t>2009-09-02 Auditory continuous 10s with 0.60mA footshock Trial26</t>
  </si>
  <si>
    <t>2009-09-02 Auditory continuous 10s with 0.60mA footshock Trial27</t>
  </si>
  <si>
    <t>2009-09-02 Auditory continuous 10s with 0.60mA footshock Trial28</t>
  </si>
  <si>
    <t>2009-09-03 Acoustic continuous 10s with 0.60mA footshock Trial25</t>
  </si>
  <si>
    <t>2009-09-03 Acoustic continuous 10s with 0.60mA footshock Trial26</t>
  </si>
  <si>
    <t>2009-09-03 Acoustic continuous 10s with 0.60mA footshock Trial27</t>
  </si>
  <si>
    <t>2009-09-03 Acoustic continuous 10s with 0.60mA footshock Trial28</t>
  </si>
  <si>
    <t>2009-09-02 Auditory continuous 10s with 0.60mA footshock Trial29</t>
  </si>
  <si>
    <t>2009-09-02 Auditory continuous 10s with 0.60mA footshock Trial30</t>
  </si>
  <si>
    <t>2009-09-02 Auditory continuous 10s with 0.60mA footshock Trial31</t>
  </si>
  <si>
    <t>2009-09-02 Auditory continuous 10s with 0.60mA footshock Trial32</t>
  </si>
  <si>
    <t>2009-09-03 Acoustic continuous 10s with 0.60mA footshock Trial29</t>
  </si>
  <si>
    <t>2009-09-03 Acoustic continuous 10s with 0.60mA footshock Trial30</t>
  </si>
  <si>
    <t>2009-09-03 Acoustic continuous 10s with 0.60mA footshock Trial31</t>
  </si>
  <si>
    <t>2009-09-03 Acoustic continuous 10s with 0.60mA footshock Trial32</t>
  </si>
  <si>
    <t>2009-09-02 Auditory continuous 10s with 0.60mA footshock Trial33</t>
  </si>
  <si>
    <t>2009-09-02 Auditory continuous 10s with 0.60mA footshock Trial34</t>
  </si>
  <si>
    <t>2009-09-02 Auditory continuous 10s with 0.60mA footshock Trial35</t>
  </si>
  <si>
    <t>2009-09-02 Auditory continuous 10s with 0.60mA footshock Trial36</t>
  </si>
  <si>
    <t>2009-09-03 Acoustic continuous 10s with 0.60mA footshock Trial33</t>
  </si>
  <si>
    <t>2009-09-03 Acoustic continuous 10s with 0.60mA footshock Trial34</t>
  </si>
  <si>
    <t>2009-09-03 Acoustic continuous 10s with 0.60mA footshock Trial35</t>
  </si>
  <si>
    <t>2009-09-03 Acoustic continuous 10s with 0.60mA footshock Trial36</t>
  </si>
  <si>
    <t>2009-09-02 Auditory continuous 10s with 0.60mA footshock Trial37</t>
  </si>
  <si>
    <t>2009-09-02 Auditory continuous 10s with 0.60mA footshock Trial38</t>
  </si>
  <si>
    <t>2009-09-02 Auditory continuous 10s with 0.60mA footshock Trial39</t>
  </si>
  <si>
    <t>2009-09-02 Auditory continuous 10s with 0.60mA footshock Trial40</t>
  </si>
  <si>
    <t>2009-09-03 Acoustic continuous 10s with 0.60mA footshock Trial37</t>
  </si>
  <si>
    <t>2009-09-03 Acoustic continuous 10s with 0.60mA footshock Trial38</t>
  </si>
  <si>
    <t>2009-09-03 Acoustic continuous 10s with 0.60mA footshock Trial39</t>
  </si>
  <si>
    <t>2009-09-03 Acoustic continuous 10s with 0.60mA footshock Trial40</t>
  </si>
  <si>
    <t>2009-09-02 Auditory continuous 10s with 0.60mA footshock Trial41</t>
  </si>
  <si>
    <t>2009-09-02 Auditory continuous 10s with 0.60mA footshock Trial42</t>
  </si>
  <si>
    <t>2009-09-02 Auditory continuous 10s with 0.60mA footshock Trial43</t>
  </si>
  <si>
    <t>2009-09-02 Auditory continuous 10s with 0.60mA footshock Trial44</t>
  </si>
  <si>
    <t>2009-09-03 Acoustic continuous 10s with 0.60mA footshock Trial41</t>
  </si>
  <si>
    <t>2009-09-03 Acoustic continuous 10s with 0.60mA footshock Trial42</t>
  </si>
  <si>
    <t>2009-09-03 Acoustic continuous 10s with 0.60mA footshock Trial43</t>
  </si>
  <si>
    <t>2009-09-03 Acoustic continuous 10s with 0.60mA footshock Trial44</t>
  </si>
  <si>
    <t>2009-09-06 Electrical continuous 10s with 0.60mA footshock Trial1</t>
  </si>
  <si>
    <t>2009-09-06 Electrical continuous 10s with 0.60mA footshock Trial2</t>
  </si>
  <si>
    <t>2009-09-06 Electrical continuous 10s with 0.60mA footshock Trial4</t>
  </si>
  <si>
    <t>2009-09-06 Electrical continuous 10s with 0.60mA footshock Trial6</t>
  </si>
  <si>
    <t>2009-09-06 Electrical continuous 10s with 0.60mA footshock Trial25</t>
  </si>
  <si>
    <t>2009-09-06 Electrical continuous 10s with 0.60mA footshock Trial26</t>
  </si>
  <si>
    <t>2009-09-06 Electrical continuous 10s with 0.60mA footshock Trial29</t>
  </si>
  <si>
    <t>2009-09-06 Electrical continuous 10s with 0.60mA footshock Trial32</t>
  </si>
  <si>
    <t>2009-09-08 Electrical continuous 10s with 0.60mA footshock Trial3</t>
  </si>
  <si>
    <t>2009-09-08 Electrical continuous 10s with 0.60mA footshock Trial4</t>
  </si>
  <si>
    <t>2009-09-08 Electrical continuous 10s with 0.60mA footshock Trial5</t>
  </si>
  <si>
    <t>2009-09-08 Electrical continuous 10s with 0.60mA footshock Trial9</t>
  </si>
  <si>
    <t>2009-09-08 Electrical continuous 10s with 0.60mA footshock Trial12</t>
  </si>
  <si>
    <t>2009-09-08 Electrical continuous 10s with 0.60mA footshock Trial13</t>
  </si>
  <si>
    <t>2009-09-08 Electrical continuous 10s with 0.60mA footshock Trial14</t>
  </si>
  <si>
    <t>2009-09-08 Electrical continuous 10s with 0.60mA footshock Trial17</t>
  </si>
  <si>
    <t>2009-09-08 Electrical continuous 10s with 0.60mA footshock Trial19</t>
  </si>
  <si>
    <t>2009-09-08 Electrical continuous 10s with 0.60mA footshock Trial21</t>
  </si>
  <si>
    <t>2009-09-08 Electrical continuous 10s with 0.60mA footshock Trial24</t>
  </si>
  <si>
    <t>2009-09-08 Electrical continuous 10s with 0.60mA footshock Trial25</t>
  </si>
  <si>
    <t>2009-09-08 Electrical continuous 10s with 0.60mA footshock Trial28</t>
  </si>
  <si>
    <t>2009-09-08 Electrical continuous 10s with 0.60mA footshock Trial29</t>
  </si>
  <si>
    <t>2009-09-08 Electrical continuous 10s with 0.60mA footshock Trial31</t>
  </si>
  <si>
    <t>2009-09-08 Electrical continuous 10s with 0.60mA footshock Trial33</t>
  </si>
  <si>
    <t>2009-09-08 Electrical continuous 10s with 0.60mA footshock Trial36</t>
  </si>
  <si>
    <t>2009-09-08 Electrical continuous 10s with 0.60mA footshock Trial37</t>
  </si>
  <si>
    <t>2009-09-08 Electrical continuous 10s with 0.60mA footshock Trial39</t>
  </si>
  <si>
    <t>2009-09-08 Electrical continuous 10s with 0.60mA footshock Trial41</t>
  </si>
  <si>
    <t>2009-09-08 Electrical continuous 10s with 0.60mA footshock Trial43</t>
  </si>
  <si>
    <t>2009-09-08 Electrical continuous 10s with 0.60mA footshock Trial46</t>
  </si>
  <si>
    <t>2009-09-08 Electrical continuous 10s with 0.60mA footshock Trial47</t>
  </si>
  <si>
    <t>2009-09-09 Electrical continuous 10s with 0.60mA footshock Trial1</t>
  </si>
  <si>
    <t>2009-09-09 Electrical continuous 10s with 0.60mA footshock Trial3</t>
  </si>
  <si>
    <t>2009-09-09 Electrical continuous 10s with 0.60mA footshock Trial4</t>
  </si>
  <si>
    <t>2009-09-09 Electrical continuous 10s with 0.60mA footshock Trial7</t>
  </si>
  <si>
    <t>2009-09-09 Electrical continuous 10s with 0.60mA footshock Trial9</t>
  </si>
  <si>
    <t>2009-09-09 Electrical continuous 10s with 0.60mA footshock Trial10</t>
  </si>
  <si>
    <t>2009-09-09 Electrical continuous 10s with 0.60mA footshock Trial13</t>
  </si>
  <si>
    <t>2009-09-09 Electrical continuous 10s with 0.60mA footshock Trial16</t>
  </si>
  <si>
    <t>2009-09-09 Electrical continuous 10s with 0.60mA footshock Trial17</t>
  </si>
  <si>
    <t>2009-09-09 Electrical continuous 10s with 0.60mA footshock Trial18</t>
  </si>
  <si>
    <t>2009-09-09 Electrical continuous 10s with 0.60mA footshock Trial20</t>
  </si>
  <si>
    <t>2009-09-09 Electrical continuous 10s with 0.60mA footshock Trial21</t>
  </si>
  <si>
    <t>2009-09-09 Electrical continuous 10s with 0.60mA footshock Trial25</t>
  </si>
  <si>
    <t>2009-09-09 Electrical continuous 10s with 0.60mA footshock Trial27</t>
  </si>
  <si>
    <t>2009-09-09 Electrical continuous 10s with 0.60mA footshock Trial29</t>
  </si>
  <si>
    <t>2009-09-09 Electrical continuous 10s with 0.60mA footshock Trial30</t>
  </si>
  <si>
    <t>2009-09-09 Electrical continuous 10s with 0.60mA footshock Trial33</t>
  </si>
  <si>
    <t>2009-09-09 Electrical continuous 10s with 0.60mA footshock Trial34</t>
  </si>
  <si>
    <t>2009-09-09 Electrical continuous 10s with 0.60mA footshock Trial35</t>
  </si>
  <si>
    <t>2009-09-09 Electrical continuous 10s with 0.60mA footshock Trial40</t>
  </si>
  <si>
    <t>2009-09-09 Electrical continuous 10s with 0.60mA footshock Trial41</t>
  </si>
  <si>
    <t>2009-09-09 Electrical continuous 10s with 0.60mA footshock Trial42</t>
  </si>
  <si>
    <t>2009-09-09 Electrical continuous 10s with 0.60mA footshock Trial44</t>
  </si>
  <si>
    <t>2009-09-09 Electrical continuous 10s with 0.60mA footshock Trial46</t>
  </si>
  <si>
    <t>2009-09-06 Electrical continuous 10s with 0.60mA footshock Trial9</t>
  </si>
  <si>
    <t>2009-09-06 Electrical continuous 10s with 0.60mA footshock Trial10</t>
  </si>
  <si>
    <t>2009-09-06 Electrical continuous 10s with 0.60mA footshock Trial11</t>
  </si>
  <si>
    <t>2009-09-06 Electrical continuous 10s with 0.60mA footshock Trial14</t>
  </si>
  <si>
    <t>2009-09-06 Electrical continuous 10s with 0.60mA footshock Trial17</t>
  </si>
  <si>
    <t>2009-09-06 Electrical continuous 10s with 0.60mA footshock Trial19</t>
  </si>
  <si>
    <t>2009-09-06 Electrical continuous 10s with 0.60mA footshock Trial20</t>
  </si>
  <si>
    <t>2009-09-06 Electrical continuous 10s with 0.60mA footshock Trial24</t>
  </si>
  <si>
    <t>2009-09-06 Electrical continuous 10s with 0.60mA footshock Trial33</t>
  </si>
  <si>
    <t>2009-09-06 Electrical continuous 10s with 0.60mA footshock Trial37</t>
  </si>
  <si>
    <t>2009-09-06 Electrical continuous 10s with 0.60mA footshock Trial38</t>
  </si>
  <si>
    <t>2009-09-06 Electrical continuous 10s with 0.60mA footshock Trial40</t>
  </si>
  <si>
    <t>2009-09-06 Electrical continuous 10s with 0.60mA footshock Trial41</t>
  </si>
  <si>
    <t>2009-09-06 Electrical continuous 10s with 0.60mA footshock Trial43</t>
  </si>
  <si>
    <t>2009-09-06 Electrical continuous 10s with 0.60mA footshock Trial44</t>
  </si>
  <si>
    <t>2009-09-06 Electrical continuous 10s with 0.60mA footshock Trial48</t>
  </si>
  <si>
    <t>2009-09-12 Generalisation test Trial1</t>
  </si>
  <si>
    <t>2009-09-12 Generalisation test Trial2</t>
  </si>
  <si>
    <t>2009-09-12 Generalisation test Trial3</t>
  </si>
  <si>
    <t>2009-09-12 Generalisation test Trial4</t>
  </si>
  <si>
    <t>2009-09-12 Generalisation test Trial5</t>
  </si>
  <si>
    <t>2009-09-12 Generalisation test Trial6</t>
  </si>
  <si>
    <t>2009-09-12 Generalisation test Trial7</t>
  </si>
  <si>
    <t>2009-09-12 Generalisation test Trial8</t>
  </si>
  <si>
    <t>2009-09-12 Generalisation test Trial9</t>
  </si>
  <si>
    <t>2009-09-12 Generalisation test Trial10</t>
  </si>
  <si>
    <t>2009-09-12 Generalisation test Trial11</t>
  </si>
  <si>
    <t>2009-09-12 Generalisation test Trial12</t>
  </si>
  <si>
    <t>2009-09-12 Generalisation test Trial13</t>
  </si>
  <si>
    <t>2009-09-12 Generalisation test Trial14</t>
  </si>
  <si>
    <t>2009-09-12 Generalisation test Trial15</t>
  </si>
  <si>
    <t>2009-09-12 Generalisation test Trial16</t>
  </si>
  <si>
    <t>2009-09-12 Generalisation test Trial17</t>
  </si>
  <si>
    <t>2009-09-12 Generalisation test Trial18</t>
  </si>
  <si>
    <t>2009-09-12 Generalisation test Trial19</t>
  </si>
  <si>
    <t>2009-09-12 Generalisation test Trial20</t>
  </si>
  <si>
    <t>2009-09-12 Generalisation test Trial21</t>
  </si>
  <si>
    <t>2009-09-12 Generalisation test Trial22</t>
  </si>
  <si>
    <t>2009-09-12 Generalisation test Trial23</t>
  </si>
  <si>
    <t>2009-09-12 Generalisation test Trial24</t>
  </si>
  <si>
    <t>2009-09-12 Generalisation test Trial25</t>
  </si>
  <si>
    <t>2009-09-12 Generalisation test Trial26</t>
  </si>
  <si>
    <t>2009-09-12 Generalisation test Trial27</t>
  </si>
  <si>
    <t>2009-09-12 Generalisation test Trial28</t>
  </si>
  <si>
    <t>2009-09-12 Generalisation test Trial29</t>
  </si>
  <si>
    <t>2009-09-12 Generalisation test Trial30</t>
  </si>
  <si>
    <t>2009-09-12 Generalisation test Trial31</t>
  </si>
  <si>
    <t>2009-09-12 Generalisation test Trial32</t>
  </si>
  <si>
    <t>2009-09-12 Generalisation test Trial33</t>
  </si>
  <si>
    <t>2009-09-12 Generalisation test Trial34</t>
  </si>
  <si>
    <t>2009-09-12 Generalisation test Trial35</t>
  </si>
  <si>
    <t>2009-09-12 Generalisation test Trial36</t>
  </si>
  <si>
    <t>2009-09-12 Generalisation test Trial37</t>
  </si>
  <si>
    <t>2009-09-12 Generalisation test Trial38</t>
  </si>
  <si>
    <t>2009-09-12 Generalisation test Trial39</t>
  </si>
  <si>
    <t>2009-09-12 Generalisation test Trial40</t>
  </si>
  <si>
    <t>2009-09-12 Generalisation test Trial41</t>
  </si>
  <si>
    <t>2009-09-12 Generalisation test Trial42</t>
  </si>
  <si>
    <t>2009-09-12 Generalisation test Trial43</t>
  </si>
  <si>
    <t>2009-09-12 Generalisation test Trial44</t>
  </si>
  <si>
    <t>2009-09-12 Generalisation test Trial45</t>
  </si>
  <si>
    <t>2009-09-12 Generalisation test Trial46</t>
  </si>
  <si>
    <t>2009-09-12 Generalisation test Trial47</t>
  </si>
  <si>
    <t>2009-09-12 Generalisation test Trial48</t>
  </si>
  <si>
    <t>2009-09-06 Electrical continuous 10s with 0.60mA footshock Trial3</t>
  </si>
  <si>
    <t>2009-09-06 Electrical continuous 10s with 0.60mA footshock Trial5</t>
  </si>
  <si>
    <t>2009-09-06 Electrical continuous 10s with 0.60mA footshock Trial7</t>
  </si>
  <si>
    <t>2009-09-06 Electrical continuous 10s with 0.60mA footshock Trial8</t>
  </si>
  <si>
    <t>2009-09-06 Electrical continuous 10s with 0.60mA footshock Trial12</t>
  </si>
  <si>
    <t>2009-09-06 Electrical continuous 10s with 0.60mA footshock Trial13</t>
  </si>
  <si>
    <t>2009-09-06 Electrical continuous 10s with 0.60mA footshock Trial15</t>
  </si>
  <si>
    <t>2009-09-06 Electrical continuous 10s with 0.60mA footshock Trial16</t>
  </si>
  <si>
    <t>2009-09-06 Electrical continuous 10s with 0.60mA footshock Trial18</t>
  </si>
  <si>
    <t>2009-09-06 Electrical continuous 10s with 0.60mA footshock Trial21</t>
  </si>
  <si>
    <t>2009-09-06 Electrical continuous 10s with 0.60mA footshock Trial22</t>
  </si>
  <si>
    <t>2009-09-06 Electrical continuous 10s with 0.60mA footshock Trial23</t>
  </si>
  <si>
    <t>2009-09-06 Electrical continuous 10s with 0.60mA footshock Trial27</t>
  </si>
  <si>
    <t>2009-09-06 Electrical continuous 10s with 0.60mA footshock Trial28</t>
  </si>
  <si>
    <t>2009-09-06 Electrical continuous 10s with 0.60mA footshock Trial30</t>
  </si>
  <si>
    <t>2009-09-06 Electrical continuous 10s with 0.60mA footshock Trial31</t>
  </si>
  <si>
    <t>2009-09-08 Electrical continuous 10s with 0.60mA footshock Trial18</t>
  </si>
  <si>
    <t>2009-09-08 Electrical continuous 10s with 0.60mA footshock Trial20</t>
  </si>
  <si>
    <t>2009-09-08 Electrical continuous 10s with 0.60mA footshock Trial22</t>
  </si>
  <si>
    <t>2009-09-08 Electrical continuous 10s with 0.60mA footshock Trial23</t>
  </si>
  <si>
    <t>2009-09-08 Electrical continuous 10s with 0.60mA footshock Trial26</t>
  </si>
  <si>
    <t>2009-09-08 Electrical continuous 10s with 0.60mA footshock Trial27</t>
  </si>
  <si>
    <t>2009-09-08 Electrical continuous 10s with 0.60mA footshock Trial30</t>
  </si>
  <si>
    <t>2009-09-08 Electrical continuous 10s with 0.60mA footshock Trial32</t>
  </si>
  <si>
    <t>2009-09-08 Electrical continuous 10s with 0.60mA footshock Trial34</t>
  </si>
  <si>
    <t>2009-09-08 Electrical continuous 10s with 0.60mA footshock Trial35</t>
  </si>
  <si>
    <t>2009-09-08 Electrical continuous 10s with 0.60mA footshock Trial38</t>
  </si>
  <si>
    <t>2009-09-08 Electrical continuous 10s with 0.60mA footshock Trial40</t>
  </si>
  <si>
    <t>2009-09-08 Electrical continuous 10s with 0.60mA footshock Trial42</t>
  </si>
  <si>
    <t>2009-09-08 Electrical continuous 10s with 0.60mA footshock Trial44</t>
  </si>
  <si>
    <t>2009-09-08 Electrical continuous 10s with 0.60mA footshock Trial45</t>
  </si>
  <si>
    <t>2009-09-08 Electrical continuous 10s with 0.60mA footshock Trial48</t>
  </si>
  <si>
    <t>2009-09-09 Electrical continuous 10s with 0.60mA footshock Trial11</t>
  </si>
  <si>
    <t>2009-09-09 Electrical continuous 10s with 0.60mA footshock Trial12</t>
  </si>
  <si>
    <t>2009-09-09 Electrical continuous 10s with 0.60mA footshock Trial14</t>
  </si>
  <si>
    <t>2009-09-09 Electrical continuous 10s with 0.60mA footshock Trial15</t>
  </si>
  <si>
    <t>2009-09-09 Electrical continuous 10s with 0.60mA footshock Trial36</t>
  </si>
  <si>
    <t>2009-09-09 Electrical continuous 10s with 0.60mA footshock Trial37</t>
  </si>
  <si>
    <t>2009-09-09 Electrical continuous 10s with 0.60mA footshock Trial38</t>
  </si>
  <si>
    <t>2009-09-09 Electrical continuous 10s with 0.60mA footshock Trial39</t>
  </si>
  <si>
    <t>2009-09-06 Electrical continuous 10s with 0.60mA footshock Trial34</t>
  </si>
  <si>
    <t>2009-09-06 Electrical continuous 10s with 0.60mA footshock Trial35</t>
  </si>
  <si>
    <t>2009-09-06 Electrical continuous 10s with 0.60mA footshock Trial36</t>
  </si>
  <si>
    <t>2009-09-06 Electrical continuous 10s with 0.60mA footshock Trial39</t>
  </si>
  <si>
    <t>2009-09-06 Electrical continuous 10s with 0.60mA footshock Trial42</t>
  </si>
  <si>
    <t>2009-09-06 Electrical continuous 10s with 0.60mA footshock Trial45</t>
  </si>
  <si>
    <t>2009-09-06 Electrical continuous 10s with 0.60mA footshock Trial46</t>
  </si>
  <si>
    <t>2009-09-06 Electrical continuous 10s with 0.60mA footshock Trial47</t>
  </si>
  <si>
    <t>2009-09-08 Electrical continuous 10s with 0.60mA footshock Trial2</t>
  </si>
  <si>
    <t>2009-09-08 Electrical continuous 10s with 0.60mA footshock Trial6</t>
  </si>
  <si>
    <t>2009-09-08 Electrical continuous 10s with 0.60mA footshock Trial7</t>
  </si>
  <si>
    <t>2009-09-08 Electrical continuous 10s with 0.60mA footshock Trial8</t>
  </si>
  <si>
    <t>2009-09-08 Electrical continuous 10s with 0.60mA footshock Trial10</t>
  </si>
  <si>
    <t>2009-09-08 Electrical continuous 10s with 0.60mA footshock Trial11</t>
  </si>
  <si>
    <t>2009-09-08 Electrical continuous 10s with 0.60mA footshock Trial15</t>
  </si>
  <si>
    <t>2009-09-08 Electrical continuous 10s with 0.60mA footshock Trial16</t>
  </si>
  <si>
    <t>2009-09-09 Electrical continuous 10s with 0.60mA footshock Trial2</t>
  </si>
  <si>
    <t>2009-09-09 Electrical continuous 10s with 0.60mA footshock Trial5</t>
  </si>
  <si>
    <t>2009-09-09 Electrical continuous 10s with 0.60mA footshock Trial6</t>
  </si>
  <si>
    <t>2009-09-09 Electrical continuous 10s with 0.60mA footshock Trial8</t>
  </si>
  <si>
    <t>2009-09-09 Electrical continuous 10s with 0.60mA footshock Trial26</t>
  </si>
  <si>
    <t>2009-09-09 Electrical continuous 10s with 0.60mA footshock Trial28</t>
  </si>
  <si>
    <t>2009-09-09 Electrical continuous 10s with 0.60mA footshock Trial31</t>
  </si>
  <si>
    <t>2009-09-09 Electrical continuous 10s with 0.60mA footshock Trial32</t>
  </si>
  <si>
    <t>2009-09-09 Electrical continuous 10s with 0.60mA footshock Trial19</t>
  </si>
  <si>
    <t>2009-09-09 Electrical continuous 10s with 0.60mA footshock Trial22</t>
  </si>
  <si>
    <t>2009-09-09 Electrical continuous 10s with 0.60mA footshock Trial23</t>
  </si>
  <si>
    <t>2009-09-09 Electrical continuous 10s with 0.60mA footshock Trial24</t>
  </si>
  <si>
    <t>2009-09-09 Electrical continuous 10s with 0.60mA footshock Trial43</t>
  </si>
  <si>
    <t>2009-09-09 Electrical continuous 10s with 0.60mA footshock Trial45</t>
  </si>
  <si>
    <t>2009-09-09 Electrical continuous 10s with 0.60mA footshock Trial47</t>
  </si>
  <si>
    <t>2009-09-09 Electrical continuous 10s with 0.60mA footshock Trial48</t>
  </si>
  <si>
    <t>2009-09-10 Electrical cont.. stim-ref across shanks Trial2</t>
  </si>
  <si>
    <t>2009-09-10 Electrical cont.. stim-ref across shanks Trial4</t>
  </si>
  <si>
    <t>2009-09-10 Electrical cont.. stim-ref across shanks Trial5</t>
  </si>
  <si>
    <t>2009-09-10 Electrical cont.. stim-ref across shanks Trial8</t>
  </si>
  <si>
    <t>2009-09-10 Electrical cont.. stim-ref across shanks Trial10</t>
  </si>
  <si>
    <t>2009-09-10 Electrical cont.. stim-ref across shanks Trial11</t>
  </si>
  <si>
    <t>2009-09-10 Electrical cont.. stim-ref across shanks Trial12</t>
  </si>
  <si>
    <t>2009-09-10 Electrical cont.. stim-ref across shanks Trial13</t>
  </si>
  <si>
    <t>2009-09-11 Electrical cont.. stim-ref across shanks Trial2</t>
  </si>
  <si>
    <t>2009-09-11 Electrical cont.. stim-ref across shanks Trial3</t>
  </si>
  <si>
    <t>2009-09-11 Electrical cont.. stim-ref across shanks Trial4</t>
  </si>
  <si>
    <t>2009-09-11 Electrical cont.. stim-ref across shanks Trial5</t>
  </si>
  <si>
    <t>2009-09-11 Electrical cont.. stim-ref across shanks Trial7</t>
  </si>
  <si>
    <t>2009-09-11 Electrical cont.. stim-ref across shanks Trial8</t>
  </si>
  <si>
    <t>2009-09-11 Electrical cont.. stim-ref across shanks Trial10</t>
  </si>
  <si>
    <t>2009-09-11 Electrical cont.. stim-ref across shanks Trial11</t>
  </si>
  <si>
    <t>2009-09-11 Electrical cont.. stim-ref across shanks Trial12</t>
  </si>
  <si>
    <t>2009-09-11 Electrical cont.. stim-ref across shanks Trial13</t>
  </si>
  <si>
    <t>2009-09-11 Electrical cont.. stim-ref across shanks Trial14</t>
  </si>
  <si>
    <t>2009-09-11 Electrical cont.. stim-ref across shanks Trial16</t>
  </si>
  <si>
    <t>2009-09-11 Electrical cont.. stim-ref across shanks Trial26</t>
  </si>
  <si>
    <t>2009-09-11 Electrical cont.. stim-ref across shanks Trial27</t>
  </si>
  <si>
    <t>2009-09-11 Electrical cont.. stim-ref across shanks Trial28</t>
  </si>
  <si>
    <t>2009-09-11 Electrical cont.. stim-ref across shanks Trial29</t>
  </si>
  <si>
    <t>2009-09-11 Electrical cont.. stim-ref across shanks Trial30</t>
  </si>
  <si>
    <t>2009-09-11 Electrical cont.. stim-ref across shanks Trial32</t>
  </si>
  <si>
    <t>2009-09-10 Electrical cont.. stim-ref across shanks Trial20</t>
  </si>
  <si>
    <t>2009-09-10 Electrical cont.. stim-ref across shanks Trial22</t>
  </si>
  <si>
    <t>2009-09-10 Electrical cont.. stim-ref across shanks Trial23</t>
  </si>
  <si>
    <t>2009-09-10 Electrical cont.. stim-ref across shanks Trial24</t>
  </si>
  <si>
    <t>2009-09-10 Electrical cont.. stim-ref across shanks Trial34</t>
  </si>
  <si>
    <t>2009-09-10 Electrical cont.. stim-ref across shanks Trial36</t>
  </si>
  <si>
    <t>2009-09-10 Electrical cont.. stim-ref across shanks Trial38</t>
  </si>
  <si>
    <t>2009-09-10 Electrical cont.. stim-ref across shanks Trial40</t>
  </si>
  <si>
    <t>2009-09-11 Electrical cont.. stim-ref across shanks Trial18</t>
  </si>
  <si>
    <t>2009-09-11 Electrical cont.. stim-ref across shanks Trial19</t>
  </si>
  <si>
    <t>2009-09-11 Electrical cont.. stim-ref across shanks Trial20</t>
  </si>
  <si>
    <t>2009-09-11 Electrical cont.. stim-ref across shanks Trial22</t>
  </si>
  <si>
    <t>2009-09-11 Electrical cont.. stim-ref across shanks Trial23</t>
  </si>
  <si>
    <t>2009-09-11 Electrical cont.. stim-ref across shanks Trial24</t>
  </si>
  <si>
    <t>2009-09-11 Electrical cont.. stim-ref across shanks Trial34</t>
  </si>
  <si>
    <t>2009-09-11 Electrical cont.. stim-ref across shanks Trial36</t>
  </si>
  <si>
    <t>2009-09-11 Electrical cont.. stim-ref across shanks Trial37</t>
  </si>
  <si>
    <t>2009-09-11 Electrical cont.. stim-ref across shanks Trial38</t>
  </si>
  <si>
    <t>2009-09-11 Electrical cont.. stim-ref across shanks Trial39</t>
  </si>
  <si>
    <t>2009-09-11 Electrical cont.. stim-ref across shanks Trial40</t>
  </si>
  <si>
    <t>2009-09-10 Electrical cont.. stim-ref across shanks Trial27</t>
  </si>
  <si>
    <t>2009-09-10 Electrical cont.. stim-ref across shanks Trial28</t>
  </si>
  <si>
    <t>2009-09-10 Electrical cont.. stim-ref across shanks Trial29</t>
  </si>
  <si>
    <t>2009-09-10 Electrical cont.. stim-ref across shanks Trial32</t>
  </si>
  <si>
    <t>2009-09-10 Electrical cont.. stim-ref across shanks Trial42</t>
  </si>
  <si>
    <t>2009-09-10 Electrical cont.. stim-ref across shanks Trial43</t>
  </si>
  <si>
    <t>2009-09-10 Electrical cont.. stim-ref across shanks Trial45</t>
  </si>
  <si>
    <t>2009-09-10 Electrical cont.. stim-ref across shanks Trial46</t>
  </si>
  <si>
    <t>2009-09-11 Electrical cont.. stim-ref across shanks Trial42</t>
  </si>
  <si>
    <t>2009-09-11 Electrical cont.. stim-ref across shanks Trial44</t>
  </si>
  <si>
    <t>2009-09-11 Electrical cont.. stim-ref across shanks Trial45</t>
  </si>
  <si>
    <t>2009-09-11 Electrical cont.. stim-ref across shanks Trial46</t>
  </si>
  <si>
    <t>2009-09-11 Electrical cont.. stim-ref across shanks Trial47</t>
  </si>
  <si>
    <t>2009-09-11 Electrical cont.. stim-ref across shanks Trial48</t>
  </si>
  <si>
    <t>2009-09-02 Acoustic conditioning continuous 10s Trial1</t>
  </si>
  <si>
    <t>2009-09-02 Acoustic conditioning continuous 10s Trial2</t>
  </si>
  <si>
    <t>2009-09-02 Acoustic conditioning continuous 10s Trial3</t>
  </si>
  <si>
    <t>2009-09-02 Acoustic conditioning continuous 10s Trial4</t>
  </si>
  <si>
    <t>2009-09-04 Electrical continuous 10s with 0.60mA footshock (incorrect channel mapping) Trial1</t>
  </si>
  <si>
    <t>2009-09-04 Electrical continuous 10s with 0.60mA footshock (incorrect channel mapping) Trial2</t>
  </si>
  <si>
    <t>2009-09-04 Electrical continuous 10s with 0.60mA footshock (incorrect channel mapping) Trial4</t>
  </si>
  <si>
    <t>2009-09-04 Electrical continuous 10s with 0.60mA footshock (incorrect channel mapping) Trial8</t>
  </si>
  <si>
    <t>2009-09-14 Re-conditioning 10s continuous 0.60mA footshock Trial13</t>
  </si>
  <si>
    <t>2009-09-14 Re-conditioning 10s continuous 0.60mA footshock Trial14</t>
  </si>
  <si>
    <t>2009-09-14 Re-conditioning 10s continuous 0.60mA footshock Trial15</t>
  </si>
  <si>
    <t>2009-09-14 Re-conditioning 10s continuous 0.60mA footshock Trial16</t>
  </si>
  <si>
    <t>2009-09-02 Acoustic conditioning continuous 10s Trial5</t>
  </si>
  <si>
    <t>2009-09-02 Acoustic conditioning continuous 10s Trial6</t>
  </si>
  <si>
    <t>2009-09-02 Acoustic conditioning continuous 10s Trial7</t>
  </si>
  <si>
    <t>2009-09-02 Acoustic conditioning continuous 10s Trial8</t>
  </si>
  <si>
    <t>2009-09-02 Acoustic conditioning continuous 10s Trial21</t>
  </si>
  <si>
    <t>2009-09-02 Acoustic conditioning continuous 10s Trial22</t>
  </si>
  <si>
    <t>2009-09-02 Acoustic conditioning continuous 10s Trial23</t>
  </si>
  <si>
    <t>2009-09-02 Acoustic conditioning continuous 10s Trial24</t>
  </si>
  <si>
    <t>2009-09-04 Electrical continuous 10s with 0.60mA footshock (incorrect channel mapping) Trial9</t>
  </si>
  <si>
    <t>2009-09-04 Electrical continuous 10s with 0.60mA footshock (incorrect channel mapping) Trial10</t>
  </si>
  <si>
    <t>2009-09-04 Electrical continuous 10s with 0.60mA footshock (incorrect channel mapping) Trial15</t>
  </si>
  <si>
    <t>2009-09-04 Electrical continuous 10s with 0.60mA footshock (incorrect channel mapping) Trial16</t>
  </si>
  <si>
    <t>2009-09-14 Re-conditioning 10s continuous 0.60mA footshock Trial1</t>
  </si>
  <si>
    <t>2009-09-14 Re-conditioning 10s continuous 0.60mA footshock Trial2</t>
  </si>
  <si>
    <t>2009-09-14 Re-conditioning 10s continuous 0.60mA footshock Trial3</t>
  </si>
  <si>
    <t>2009-09-14 Re-conditioning 10s continuous 0.60mA footshock Trial4</t>
  </si>
  <si>
    <t>2009-09-02 Acoustic conditioning continuous 10s Trial9</t>
  </si>
  <si>
    <t>2009-09-02 Acoustic conditioning continuous 10s Trial10</t>
  </si>
  <si>
    <t>2009-09-02 Acoustic conditioning continuous 10s Trial11</t>
  </si>
  <si>
    <t>2009-09-02 Acoustic conditioning continuous 10s Trial12</t>
  </si>
  <si>
    <t>2009-09-02 Acoustic conditioning continuous 10s Trial17</t>
  </si>
  <si>
    <t>2009-09-02 Acoustic conditioning continuous 10s Trial18</t>
  </si>
  <si>
    <t>2009-09-02 Acoustic conditioning continuous 10s Trial19</t>
  </si>
  <si>
    <t>2009-09-02 Acoustic conditioning continuous 10s Trial20</t>
  </si>
  <si>
    <t>2009-09-04 Electrical continuous 10s with 0.60mA footshock (incorrect channel mapping) Trial17</t>
  </si>
  <si>
    <t>2009-09-04 Electrical continuous 10s with 0.60mA footshock (incorrect channel mapping) Trial18</t>
  </si>
  <si>
    <t>2009-09-04 Electrical continuous 10s with 0.60mA footshock (incorrect channel mapping) Trial19</t>
  </si>
  <si>
    <t>2009-09-04 Electrical continuous 10s with 0.60mA footshock (incorrect channel mapping) Trial22</t>
  </si>
  <si>
    <t>2009-09-14 Re-conditioning 10s continuous 0.60mA footshock Trial5</t>
  </si>
  <si>
    <t>2009-09-14 Re-conditioning 10s continuous 0.60mA footshock Trial6</t>
  </si>
  <si>
    <t>2009-09-14 Re-conditioning 10s continuous 0.60mA footshock Trial7</t>
  </si>
  <si>
    <t>2009-09-14 Re-conditioning 10s continuous 0.60mA footshock Trial8</t>
  </si>
  <si>
    <t>2009-09-02 Acoustic conditioning continuous 10s Trial13</t>
  </si>
  <si>
    <t>2009-09-02 Acoustic conditioning continuous 10s Trial14</t>
  </si>
  <si>
    <t>2009-09-02 Acoustic conditioning continuous 10s Trial15</t>
  </si>
  <si>
    <t>2009-09-02 Acoustic conditioning continuous 10s Trial16</t>
  </si>
  <si>
    <t>2009-09-14 Re-conditioning 10s continuous 0.60mA footshock Trial29</t>
  </si>
  <si>
    <t>2009-09-14 Re-conditioning 10s continuous 0.60mA footshock Trial30</t>
  </si>
  <si>
    <t>2009-09-14 Re-conditioning 10s continuous 0.60mA footshock Trial31</t>
  </si>
  <si>
    <t>2009-09-14 Re-conditioning 10s continuous 0.60mA footshock Trial32</t>
  </si>
  <si>
    <t>2009-09-02 Acoustic conditioning continuous 10s Trial25</t>
  </si>
  <si>
    <t>2009-09-02 Acoustic conditioning continuous 10s Trial26</t>
  </si>
  <si>
    <t>2009-09-02 Acoustic conditioning continuous 10s Trial27</t>
  </si>
  <si>
    <t>2009-09-02 Acoustic conditioning continuous 10s Trial28</t>
  </si>
  <si>
    <t>2009-09-04 Electrical continuous 10s with 0.60mA footshock (incorrect channel mapping) Trial33</t>
  </si>
  <si>
    <t>2009-09-04 Electrical continuous 10s with 0.60mA footshock (incorrect channel mapping) Trial35</t>
  </si>
  <si>
    <t>2009-09-04 Electrical continuous 10s with 0.60mA footshock (incorrect channel mapping) Trial36</t>
  </si>
  <si>
    <t>2009-09-04 Electrical continuous 10s with 0.60mA footshock (incorrect channel mapping) Trial37</t>
  </si>
  <si>
    <t>2009-09-14 Re-conditioning 10s continuous 0.60mA footshock Trial21</t>
  </si>
  <si>
    <t>2009-09-14 Re-conditioning 10s continuous 0.60mA footshock Trial22</t>
  </si>
  <si>
    <t>2009-09-14 Re-conditioning 10s continuous 0.60mA footshock Trial23</t>
  </si>
  <si>
    <t>2009-09-14 Re-conditioning 10s continuous 0.60mA footshock Trial24</t>
  </si>
  <si>
    <t>2009-09-02 Acoustic conditioning continuous 10s Trial29</t>
  </si>
  <si>
    <t>2009-09-02 Acoustic conditioning continuous 10s Trial30</t>
  </si>
  <si>
    <t>2009-09-02 Acoustic conditioning continuous 10s Trial31</t>
  </si>
  <si>
    <t>2009-09-02 Acoustic conditioning continuous 10s Trial32</t>
  </si>
  <si>
    <t>2009-09-14 Re-conditioning 10s continuous 0.60mA footshock Trial33</t>
  </si>
  <si>
    <t>2009-09-14 Re-conditioning 10s continuous 0.60mA footshock Trial34</t>
  </si>
  <si>
    <t>2009-09-14 Re-conditioning 10s continuous 0.60mA footshock Trial35</t>
  </si>
  <si>
    <t>2009-09-14 Re-conditioning 10s continuous 0.60mA footshock Trial36</t>
  </si>
  <si>
    <t>2009-09-02 Acoustic conditioning continuous 10s Trial33</t>
  </si>
  <si>
    <t>2009-09-02 Acoustic conditioning continuous 10s Trial34</t>
  </si>
  <si>
    <t>2009-09-02 Acoustic conditioning continuous 10s Trial35</t>
  </si>
  <si>
    <t>2009-09-02 Acoustic conditioning continuous 10s Trial36</t>
  </si>
  <si>
    <t>2009-09-14 Re-conditioning 10s continuous 0.60mA footshock Trial25</t>
  </si>
  <si>
    <t>2009-09-14 Re-conditioning 10s continuous 0.60mA footshock Trial26</t>
  </si>
  <si>
    <t>2009-09-14 Re-conditioning 10s continuous 0.60mA footshock Trial27</t>
  </si>
  <si>
    <t>2009-09-14 Re-conditioning 10s continuous 0.60mA footshock Trial28</t>
  </si>
  <si>
    <t>2009-09-02 Acoustic conditioning continuous 10s Trial37</t>
  </si>
  <si>
    <t>2009-09-02 Acoustic conditioning continuous 10s Trial38</t>
  </si>
  <si>
    <t>2009-09-02 Acoustic conditioning continuous 10s Trial39</t>
  </si>
  <si>
    <t>2009-09-02 Acoustic conditioning continuous 10s Trial40</t>
  </si>
  <si>
    <t>2009-09-04 Electrical continuous 10s with 0.60mA footshock (incorrect channel mapping) Trial25</t>
  </si>
  <si>
    <t>2009-09-04 Electrical continuous 10s with 0.60mA footshock (incorrect channel mapping) Trial30</t>
  </si>
  <si>
    <t>2009-09-04 Electrical continuous 10s with 0.60mA footshock (incorrect channel mapping) Trial31</t>
  </si>
  <si>
    <t>2009-09-04 Electrical continuous 10s with 0.60mA footshock (incorrect channel mapping) Trial32</t>
  </si>
  <si>
    <t>2009-09-14 Re-conditioning 10s continuous 0.60mA footshock Trial17</t>
  </si>
  <si>
    <t>2009-09-14 Re-conditioning 10s continuous 0.60mA footshock Trial18</t>
  </si>
  <si>
    <t>2009-09-14 Re-conditioning 10s continuous 0.60mA footshock Trial19</t>
  </si>
  <si>
    <t>2009-09-14 Re-conditioning 10s continuous 0.60mA footshock Trial20</t>
  </si>
  <si>
    <t>2009-09-02 Acoustic conditioning continuous 10s Trial41</t>
  </si>
  <si>
    <t>2009-09-02 Acoustic conditioning continuous 10s Trial42</t>
  </si>
  <si>
    <t>2009-09-02 Acoustic conditioning continuous 10s Trial43</t>
  </si>
  <si>
    <t>2009-09-02 Acoustic conditioning continuous 10s Trial44</t>
  </si>
  <si>
    <t>2009-09-02 Acoustic conditioning continuous 10s Trial45</t>
  </si>
  <si>
    <t>2009-09-02 Acoustic conditioning continuous 10s Trial46</t>
  </si>
  <si>
    <t>2009-09-02 Acoustic conditioning continuous 10s Trial47</t>
  </si>
  <si>
    <t>2009-09-02 Acoustic conditioning continuous 10s Trial48</t>
  </si>
  <si>
    <t>2009-09-04 Electrical continuous 10s with 0.60mA footshock (incorrect channel mapping) Trial41</t>
  </si>
  <si>
    <t>2009-09-04 Electrical continuous 10s with 0.60mA footshock (incorrect channel mapping) Trial42</t>
  </si>
  <si>
    <t>2009-09-04 Electrical continuous 10s with 0.60mA footshock (incorrect channel mapping) Trial43</t>
  </si>
  <si>
    <t>2009-09-04 Electrical continuous 10s with 0.60mA footshock (incorrect channel mapping) Trial46</t>
  </si>
  <si>
    <t>2009-09-14 Re-conditioning 10s continuous 0.60mA footshock Trial9</t>
  </si>
  <si>
    <t>2009-09-14 Re-conditioning 10s continuous 0.60mA footshock Trial10</t>
  </si>
  <si>
    <t>2009-09-14 Re-conditioning 10s continuous 0.60mA footshock Trial11</t>
  </si>
  <si>
    <t>2009-09-14 Re-conditioning 10s continuous 0.60mA footshock Trial12</t>
  </si>
  <si>
    <t>2009-09-10 Electrical continuous freq diff Trial1</t>
  </si>
  <si>
    <t>2009-09-10 Electrical continuous freq diff Trial2</t>
  </si>
  <si>
    <t>2009-09-10 Electrical continuous freq diff Trial3</t>
  </si>
  <si>
    <t>2009-09-10 Electrical continuous freq diff Trial7</t>
  </si>
  <si>
    <t>2009-09-14 Re-conditioning 10s continuous 0.60mA footshock Trial37</t>
  </si>
  <si>
    <t>2009-09-14 Re-conditioning 10s continuous 0.60mA footshock Trial38</t>
  </si>
  <si>
    <t>2009-09-14 Re-conditioning 10s continuous 0.60mA footshock Trial39</t>
  </si>
  <si>
    <t>2009-09-14 Re-conditioning 10s continuous 0.60mA footshock Trial40</t>
  </si>
  <si>
    <t>2009-09-10 Electrical continuous freq diff Trial9</t>
  </si>
  <si>
    <t>2009-09-10 Electrical continuous freq diff Trial11</t>
  </si>
  <si>
    <t>2009-09-10 Electrical continuous freq diff Trial13</t>
  </si>
  <si>
    <t>2009-09-10 Electrical continuous freq diff Trial14</t>
  </si>
  <si>
    <t>2009-09-14 Re-conditioning 10s continuous 0.60mA footshock Trial41</t>
  </si>
  <si>
    <t>2009-09-14 Re-conditioning 10s continuous 0.60mA footshock Trial42</t>
  </si>
  <si>
    <t>2009-09-14 Re-conditioning 10s continuous 0.60mA footshock Trial43</t>
  </si>
  <si>
    <t>2009-09-14 Re-conditioning 10s continuous 0.60mA footshock Trial44</t>
  </si>
  <si>
    <t>2009-09-10 Electrical continuous freq diff Trial17</t>
  </si>
  <si>
    <t>2009-09-10 Electrical continuous freq diff Trial18</t>
  </si>
  <si>
    <t>2009-09-10 Electrical continuous freq diff Trial19</t>
  </si>
  <si>
    <t>2009-09-10 Electrical continuous freq diff Trial23</t>
  </si>
  <si>
    <t>2009-09-14 Re-conditioning 10s continuous 0.60mA footshock Trial45</t>
  </si>
  <si>
    <t>2009-09-14 Re-conditioning 10s continuous 0.60mA footshock Trial46</t>
  </si>
  <si>
    <t>2009-09-14 Re-conditioning 10s continuous 0.60mA footshock Trial47</t>
  </si>
  <si>
    <t>2009-09-14 Re-conditioning 10s continuous 0.60mA footshock Trial48</t>
  </si>
  <si>
    <t>2009-09-10 Electrical continuous freq diff Trial25</t>
  </si>
  <si>
    <t>2009-09-10 Electrical continuous freq diff Trial26</t>
  </si>
  <si>
    <t>2009-09-10 Electrical continuous freq diff Trial27</t>
  </si>
  <si>
    <t>2009-09-10 Electrical continuous freq diff Trial31</t>
  </si>
  <si>
    <t>2009-09-10 Electrical continuous freq diff Trial33</t>
  </si>
  <si>
    <t>2009-09-10 Electrical continuous freq diff Trial34</t>
  </si>
  <si>
    <t>2009-09-10 Electrical continuous freq diff Trial35</t>
  </si>
  <si>
    <t>2009-09-10 Electrical continuous freq diff Trial40</t>
  </si>
  <si>
    <t>2009-09-10 Electrical continuous freq diff Trial41</t>
  </si>
  <si>
    <t>2009-09-10 Electrical continuous freq diff Trial43</t>
  </si>
  <si>
    <t>2009-09-10 Electrical continuous freq diff Trial44</t>
  </si>
  <si>
    <t>2009-09-10 Electrical continuous freq diff Trial46</t>
  </si>
  <si>
    <t>2009-09-04 Electrical continuous 10s with 0.60mA footshock (incorrect channel mapping) Trial3</t>
  </si>
  <si>
    <t>2009-09-04 Electrical continuous 10s with 0.60mA footshock (incorrect channel mapping) Trial5</t>
  </si>
  <si>
    <t>2009-09-04 Electrical continuous 10s with 0.60mA footshock (incorrect channel mapping) Trial6</t>
  </si>
  <si>
    <t>2009-09-04 Electrical continuous 10s with 0.60mA footshock (incorrect channel mapping) Trial7</t>
  </si>
  <si>
    <t>2009-09-04 Electrical continuous 10s with 0.60mA footshock (incorrect channel mapping) Trial11</t>
  </si>
  <si>
    <t>2009-09-04 Electrical continuous 10s with 0.60mA footshock (incorrect channel mapping) Trial12</t>
  </si>
  <si>
    <t>2009-09-04 Electrical continuous 10s with 0.60mA footshock (incorrect channel mapping) Trial13</t>
  </si>
  <si>
    <t>2009-09-04 Electrical continuous 10s with 0.60mA footshock (incorrect channel mapping) Trial14</t>
  </si>
  <si>
    <t>2009-09-04 Electrical continuous 10s with 0.60mA footshock (incorrect channel mapping) Trial20</t>
  </si>
  <si>
    <t>2009-09-04 Electrical continuous 10s with 0.60mA footshock (incorrect channel mapping) Trial21</t>
  </si>
  <si>
    <t>2009-09-04 Electrical continuous 10s with 0.60mA footshock (incorrect channel mapping) Trial23</t>
  </si>
  <si>
    <t>2009-09-04 Electrical continuous 10s with 0.60mA footshock (incorrect channel mapping) Trial24</t>
  </si>
  <si>
    <t>2009-09-04 Electrical continuous 10s with 0.60mA footshock (incorrect channel mapping) Trial26</t>
  </si>
  <si>
    <t>2009-09-04 Electrical continuous 10s with 0.60mA footshock (incorrect channel mapping) Trial27</t>
  </si>
  <si>
    <t>2009-09-04 Electrical continuous 10s with 0.60mA footshock (incorrect channel mapping) Trial28</t>
  </si>
  <si>
    <t>2009-09-04 Electrical continuous 10s with 0.60mA footshock (incorrect channel mapping) Trial29</t>
  </si>
  <si>
    <t>2009-09-04 Electrical continuous 10s with 0.60mA footshock (incorrect channel mapping) Trial34</t>
  </si>
  <si>
    <t>2009-09-04 Electrical continuous 10s with 0.60mA footshock (incorrect channel mapping) Trial38</t>
  </si>
  <si>
    <t>2009-09-04 Electrical continuous 10s with 0.60mA footshock (incorrect channel mapping) Trial39</t>
  </si>
  <si>
    <t>2009-09-04 Electrical continuous 10s with 0.60mA footshock (incorrect channel mapping) Trial40</t>
  </si>
  <si>
    <t>2009-09-04 Electrical continuous 10s with 0.60mA footshock (incorrect channel mapping) Trial44</t>
  </si>
  <si>
    <t>2009-09-04 Electrical continuous 10s with 0.60mA footshock (incorrect channel mapping) Trial45</t>
  </si>
  <si>
    <t>2009-09-04 Electrical continuous 10s with 0.60mA footshock (incorrect channel mapping) Trial47</t>
  </si>
  <si>
    <t>2009-09-04 Electrical continuous 10s with 0.60mA footshock (incorrect channel mapping) Trial48</t>
  </si>
  <si>
    <t>2009-09-10 Electrical continuous freq diff Trial4</t>
  </si>
  <si>
    <t>2009-09-10 Electrical continuous freq diff Trial5</t>
  </si>
  <si>
    <t>2009-09-10 Electrical continuous freq diff Trial6</t>
  </si>
  <si>
    <t>2009-09-10 Electrical continuous freq diff Trial8</t>
  </si>
  <si>
    <t>2009-09-10 Electrical continuous freq diff Trial10</t>
  </si>
  <si>
    <t>2009-09-10 Electrical continuous freq diff Trial12</t>
  </si>
  <si>
    <t>2009-09-10 Electrical continuous freq diff Trial15</t>
  </si>
  <si>
    <t>2009-09-10 Electrical continuous freq diff Trial16</t>
  </si>
  <si>
    <t>2009-09-10 Electrical continuous freq diff Trial20</t>
  </si>
  <si>
    <t>2009-09-10 Electrical continuous freq diff Trial21</t>
  </si>
  <si>
    <t>2009-09-10 Electrical continuous freq diff Trial22</t>
  </si>
  <si>
    <t>2009-09-10 Electrical continuous freq diff Trial24</t>
  </si>
  <si>
    <t>2009-09-10 Electrical continuous freq diff Trial28</t>
  </si>
  <si>
    <t>2009-09-10 Electrical continuous freq diff Trial29</t>
  </si>
  <si>
    <t>2009-09-10 Electrical continuous freq diff Trial30</t>
  </si>
  <si>
    <t>2009-09-10 Electrical continuous freq diff Trial32</t>
  </si>
  <si>
    <t>2009-09-10 Electrical continuous freq diff Trial36</t>
  </si>
  <si>
    <t>2009-09-10 Electrical continuous freq diff Trial37</t>
  </si>
  <si>
    <t>2009-09-10 Electrical continuous freq diff Trial38</t>
  </si>
  <si>
    <t>2009-09-10 Electrical continuous freq diff Trial39</t>
  </si>
  <si>
    <t>2009-09-10 Electrical continuous freq diff Trial42</t>
  </si>
  <si>
    <t>2009-09-10 Electrical continuous freq diff Trial45</t>
  </si>
  <si>
    <t>2009-09-10 Electrical continuous freq diff Trial47</t>
  </si>
  <si>
    <t>2009-09-10 Electrical continuous freq diff Trial48</t>
  </si>
  <si>
    <t>26000Hz (65.42dB to 75.42dB), 3000Hz (68.36dB to 78.36dB)</t>
  </si>
  <si>
    <t>24000Hz (68.38dB to 78.38dB), 4000Hz (69.58dB to 79.58dB)</t>
  </si>
  <si>
    <t>22000Hz (68.38dB to 78.38dB), 4000Hz (68.56dB to 78.56dB)</t>
  </si>
  <si>
    <t>25000Hz (68.19dB to 78.19dB), 6000Hz (68.78dB to 78.78dB)</t>
  </si>
  <si>
    <t>18000Hz (68.38dB to 78.38dB), 4000Hz (76.61dB to 86.61dB)</t>
  </si>
  <si>
    <t>17000Hz (63.84dB to 73.84dB), 4500Hz (81.87dB to 91.87dB)</t>
  </si>
  <si>
    <t>22000Hz (68.64dB to 78.64dB), 9000Hz (68.56dB to 78.56dB)</t>
  </si>
  <si>
    <t>32 ref 7 @ 800Hz (25uA to 40uA), 32 ref 7 @ 100Hz (25uA to 40uA)</t>
  </si>
  <si>
    <t>26 ref 6* @ 100Hz (15uA to 40uA), 12 ref 4 @ 800Hz (15uA to 40uA)</t>
  </si>
  <si>
    <t>26 ref 6* @ 800Hz (15uA to 40uA), 12 ref 4 @ 100Hz (15uA to 40uA)</t>
  </si>
  <si>
    <t>26 ref 6* @ 100Hz (20uA to 40uA), 12 ref 4 @ 400Hz (20uA to 40uA)</t>
  </si>
  <si>
    <t>26 ref 6* @ 400Hz (20uA to 40uA), 12 ref 4 @ 100Hz (20uA to 40uA)</t>
  </si>
  <si>
    <t>26 ref 6* @ 400Hz (15uA to 30uA), 12 ref 4 @ 800Hz (15uA to 30uA)</t>
  </si>
  <si>
    <t>26 ref 6* @ 800Hz (15uA to 30uA), 12 ref 4 @ 400Hz (15uA to 30uA)</t>
  </si>
  <si>
    <t>Highlight decrease trial proportion outside 15-85% range</t>
  </si>
  <si>
    <t>Highlight decrease trial proportion outside 25-75% range</t>
  </si>
  <si>
    <t>26000Hz (68.36dB to 78.36dB), 3000Hz (65.42dB to 75.42dB)</t>
  </si>
  <si>
    <t>24000Hz (69.58dB to 79.58dB), 4000Hz (68.38dB to 78.38dB)</t>
  </si>
  <si>
    <t>22000Hz (68.56dB to 78.56dB), 4000Hz (68.38dB to 78.38dB)</t>
  </si>
  <si>
    <t>25000Hz (68.78dB to 78.78dB), 6000Hz (68.19dB to 78.19dB)</t>
  </si>
  <si>
    <t>18000Hz (76.61dB to 86.61dB), 4000Hz (68.38dB to 78.38dB)</t>
  </si>
  <si>
    <t>17000Hz (81.87dB to 91.87dB), 4500Hz (63.84dB to 73.84dB)</t>
  </si>
  <si>
    <t>24000Hz (69.58dB to 79.58dB), 8000Hz (65.91dB to 75.91dB)</t>
  </si>
  <si>
    <t>22000Hz (68.56dB to 78.56dB), 9000Hz (68.64dB to 78.64dB)</t>
  </si>
  <si>
    <t>20000Hz (72.76dB to 82.76dB), 11000Hz (66.81dB to 76.81dB)</t>
  </si>
  <si>
    <t>22000Hz (68.56dB to 78.56dB), 14000Hz (76.34dB to 86.34dB)</t>
  </si>
  <si>
    <t>18000Hz (76.61dB to 86.61dB), 13000Hz (73.81dB to 83.81dB)</t>
  </si>
  <si>
    <t>17000Hz (81.87dB to 91.87dB), 14000Hz (76.34dB to 86.34dB)</t>
  </si>
  <si>
    <t>36000Hz (63.79dB to 73.79dB), 25000Hz (68.78dB to 78.78dB)</t>
  </si>
  <si>
    <t>36000Hz (68.78dB to 78.78dB), 25000Hz (63.79dB to 73.79dB)</t>
  </si>
  <si>
    <t>22000Hz (68.56dB to 78.56dB), 3000Hz (65.42dB to 75.42dB)</t>
  </si>
  <si>
    <t>22000Hz (65.42dB to 75.42dB), 3000Hz (68.56dB to 78.56dB)</t>
  </si>
  <si>
    <t>40000Hz (68.56dB to 78.56dB), 22000Hz (63.24dB to 73.24dB)</t>
  </si>
  <si>
    <t>22000Hz (68.56dB to 78.56dB), 12000Hz (67.63dB to 77.63dB)</t>
  </si>
  <si>
    <t>22000Hz (67.63dB to 77.63dB), 12000Hz (68.56dB to 78.56dB)</t>
  </si>
  <si>
    <t>32000Hz (64.72dB to 74.72dB), 22000Hz (68.56dB to 78.56dB)</t>
  </si>
  <si>
    <t>32000Hz (68.56dB to 78.56dB), 22000Hz (64.72dB to 74.72dB)</t>
  </si>
  <si>
    <t>22000Hz (68.56dB to 78.56dB), 6000Hz (68.19dB to 78.19dB)</t>
  </si>
  <si>
    <t>22000Hz (68.19dB to 78.19dB), 6000Hz (68.56dB to 78.56dB)</t>
  </si>
  <si>
    <t>28000Hz (64.89dB to 74.89dB), 22000Hz (68.56dB to 78.56dB)</t>
  </si>
  <si>
    <t>28000Hz (68.56dB to 78.56dB), 22000Hz (64.89dB to 74.89dB)</t>
  </si>
  <si>
    <t>39000Hz (61.91dB to 71.91dB), 5000Hz (66.56dB to 76.56dB)</t>
  </si>
  <si>
    <t>39000Hz (66.56dB to 76.56dB), 5000Hz (61.91dB to 71.91dB)</t>
  </si>
  <si>
    <t>31000Hz (62.31dB to 72.31dB), 7000Hz (70.79dB to 80.79dB)</t>
  </si>
  <si>
    <t>31000Hz (70.79dB to 80.79dB), 7000Hz (62.31dB to 72.31dB)</t>
  </si>
  <si>
    <t>35000Hz (62.36dB to 72.36dB), 10000Hz (69.96dB to 79.96dB)</t>
  </si>
  <si>
    <t>35000Hz (69.96dB to 79.96dB), 10000Hz (62.36dB to 72.36dB)</t>
  </si>
  <si>
    <t>39000Hz (61.91dB to 71.91dB), 15000Hz (81.77dB to 91.77dB)</t>
  </si>
  <si>
    <t>39000Hz (81.77dB to 91.77dB), 15000Hz (61.91dB to 71.91dB)</t>
  </si>
  <si>
    <t>21000Hz (70.93dB to 80.93dB), 5000Hz (66.56dB to 76.56dB)</t>
  </si>
  <si>
    <t>21000Hz (66.56dB to 76.56dB), 5000Hz (70.93dB to 80.93dB)</t>
  </si>
  <si>
    <t>38000Hz (63.26dB to 73.26dB), 16000Hz (87.96dB to 97.96dB)</t>
  </si>
  <si>
    <t>38000Hz (87.96dB to 97.96dB), 16000Hz (63.26dB to 73.26dB)</t>
  </si>
  <si>
    <t>43000Hz (62.87dB to 72.87dB), 21000Hz (70.93dB to 80.93dB)</t>
  </si>
  <si>
    <t>43000Hz (70.93dB to 80.93dB), 21000Hz (62.87dB to 72.87dB)</t>
  </si>
  <si>
    <t>37000Hz (70.93dB to 80.93dB), 21000Hz (58.32dB to 68.32dB)</t>
  </si>
  <si>
    <t>42000Hz (63.64dB to 73.64dB), 16000Hz (87.96dB to 97.96dB)</t>
  </si>
  <si>
    <t>42000Hz (87.96dB to 97.96dB), 16000Hz (63.64dB to 73.64dB)</t>
  </si>
  <si>
    <t>27000Hz (66.31dB to 76.31dB), 19000Hz (74.58dB to 84.58dB)</t>
  </si>
  <si>
    <t>27000Hz (74.58dB to 84.58dB), 19000Hz (66.31dB to 76.31dB)</t>
  </si>
  <si>
    <t>37000Hz (58.32dB to 68.32dB), 15000Hz (81.77dB to 91.77dB)</t>
  </si>
  <si>
    <t>37000Hz (81.77dB to 91.77dB), 15000Hz (58.32dB to 68.32dB)</t>
  </si>
  <si>
    <t>29000Hz (66.13dB to 76.13dB), 21000Hz (70.93dB to 80.93dB)</t>
  </si>
  <si>
    <t>29000Hz (70.93dB to 80.93dB), 21000Hz (66.13dB to 76.13dB)</t>
  </si>
  <si>
    <t>37000Hz (68.19dB to 78.19dB), 6000Hz (58.32dB to 68.32dB)</t>
  </si>
  <si>
    <t>40000Hz (67.63dB to 77.63dB), 12000Hz (63.24dB to 73.24dB)</t>
  </si>
  <si>
    <t>37000Hz (68.56dB to 78.56dB), 22000Hz (58.32dB to 68.32dB)</t>
  </si>
  <si>
    <t>40000Hz (65.42dB to 75.42dB), 3000Hz (63.24dB to 73.24dB)</t>
  </si>
  <si>
    <t>40000Hz (81.87dB to 91.87dB), 17000Hz (63.24dB to 73.24dB)</t>
  </si>
  <si>
    <t>37000Hz (81.87dB to 91.87dB), 17000Hz (58.32dB to 68.32dB)</t>
  </si>
  <si>
    <t>30000Hz (61.89dB to 71.89dB), 9000Hz (68.64dB to 78.64dB)</t>
  </si>
  <si>
    <t>30000Hz (68.64dB to 78.64dB), 9000Hz (61.89dB to 71.89dB)</t>
  </si>
  <si>
    <t>30000Hz (61.89dB to 71.89dB), 13000Hz (73.81dB to 83.81dB)</t>
  </si>
  <si>
    <t>30000Hz (73.81dB to 83.81dB), 13000Hz (61.89dB to 71.89dB)</t>
  </si>
  <si>
    <t>36000Hz (63.79dB to 73.79dB), 12000Hz (67.63dB to 77.63dB)</t>
  </si>
  <si>
    <t>36000Hz (67.63dB to 77.63dB), 12000Hz (63.79dB to 73.79dB)</t>
  </si>
  <si>
    <t>22000Hz (68.56dB to 78.56dB), 11000Hz (66.81dB to 76.81dB)</t>
  </si>
  <si>
    <t>22000Hz (66.81dB to 76.81dB), 11000Hz (68.56dB to 78.56dB)</t>
  </si>
  <si>
    <t>38000Hz (63.26dB to 73.26dB), 15000Hz (81.77dB to 91.77dB)</t>
  </si>
  <si>
    <t>38000Hz (81.77dB to 91.77dB), 15000Hz (63.26dB to 73.26dB)</t>
  </si>
  <si>
    <t>36000Hz (63.79dB to 73.79dB), 17000Hz (81.87dB to 91.87dB)</t>
  </si>
  <si>
    <t>36000Hz (81.87dB to 91.87dB), 17000Hz (63.79dB to 73.79dB)</t>
  </si>
  <si>
    <t>38000Hz (63.26dB to 73.26dB), 18000Hz (76.61dB to 86.61dB)</t>
  </si>
  <si>
    <t>38000Hz (76.61dB to 86.61dB), 18000Hz (63.26dB to 73.26dB)</t>
  </si>
  <si>
    <t>36000Hz (63.79dB to 73.79dB), 19000Hz (74.58dB to 84.58dB)</t>
  </si>
  <si>
    <t>36000Hz (74.58dB to 84.58dB), 19000Hz (63.79dB to 73.79dB)</t>
  </si>
  <si>
    <t>36000Hz (63.79dB to 73.79dB), 20000Hz (72.76dB to 82.76dB)</t>
  </si>
  <si>
    <t>36000Hz (72.76dB to 82.76dB), 20000Hz (63.79dB to 73.79dB)</t>
  </si>
  <si>
    <t>38000Hz (63.26dB to 73.26dB), 22000Hz (68.56dB to 78.56dB)</t>
  </si>
  <si>
    <t>38000Hz (68.56dB to 78.56dB), 22000Hz (63.26dB to 73.26dB)</t>
  </si>
  <si>
    <t>27000Hz (66.31dB to 76.31dB), 9000Hz (68.64dB to 78.64dB)</t>
  </si>
  <si>
    <t>27000Hz (68.64dB to 78.64dB), 9000Hz (66.31dB to 76.31dB)</t>
  </si>
  <si>
    <t>19000Hz (74.58dB to 84.58dB), 9000Hz (68.64dB to 78.64dB)</t>
  </si>
  <si>
    <t>19000Hz (68.64dB to 78.64dB), 9000Hz (74.58dB to 84.58dB)</t>
  </si>
  <si>
    <t>18000Hz (76.61dB to 86.61dB), 9000Hz (68.64dB to 78.64dB)</t>
  </si>
  <si>
    <t>18000Hz (68.64dB to 78.64dB), 9000Hz (76.61dB to 86.61dB)</t>
  </si>
  <si>
    <t>27000Hz (66.31dB to 76.31dB), 12000Hz (67.63dB to 77.63dB)</t>
  </si>
  <si>
    <t>27000Hz (67.63dB to 77.63dB), 12000Hz (66.31dB to 76.31dB)</t>
  </si>
  <si>
    <t>43000Hz (62.87dB to 72.87dB), 14000Hz (76.34dB to 86.34dB)</t>
  </si>
  <si>
    <t>43000Hz (76.34dB to 86.34dB), 14000Hz (62.87dB to 72.87dB)</t>
  </si>
  <si>
    <t>16000Hz (87.96dB to 97.96dB), 7000Hz (70.79dB to 80.79dB)</t>
  </si>
  <si>
    <t>16000Hz (70.79dB to 80.79dB), 7000Hz (87.96dB to 97.96dB)</t>
  </si>
  <si>
    <t>32000Hz (64.72dB to 74.72dB), 11500Hz (76.03dB to 86.03dB)</t>
  </si>
  <si>
    <t>32000Hz (76.03dB to 86.03dB), 11500Hz (64.72dB to 74.72dB)</t>
  </si>
  <si>
    <t>31000Hz (62.31dB to 72.31dB), 21000Hz (70.93dB to 80.93dB)</t>
  </si>
  <si>
    <t>31000Hz (70.93dB to 80.93dB), 21000Hz (62.31dB to 72.31dB)</t>
  </si>
  <si>
    <t>24000Hz (69.58dB to 79.58dB), 16000Hz (87.96dB to 97.96dB)</t>
  </si>
  <si>
    <t>24000Hz (87.96dB to 97.96dB), 16000Hz (69.58dB to 79.58dB)</t>
  </si>
  <si>
    <t>8000Hz (65.91dB to 75.91dB), 4000Hz (68.38dB to 78.38dB)</t>
  </si>
  <si>
    <t>8000Hz (68.38dB to 78.38dB), 4000Hz (65.91dB to 75.91dB)</t>
  </si>
  <si>
    <t>42000Hz (63.64dB to 73.64dB), 23000Hz (71.66dB to 81.66dB)</t>
  </si>
  <si>
    <t>42000Hz (71.66dB to 81.66dB), 23000Hz (63.64dB to 73.64dB)</t>
  </si>
  <si>
    <t>42500Hz (63.93dB to 73.93dB), 32000Hz (64.72dB to 74.72dB)</t>
  </si>
  <si>
    <t>42500Hz (64.72dB to 74.72dB), 32000Hz (63.93dB to 73.93dB)</t>
  </si>
  <si>
    <t>33000Hz (64.53dB to 74.53dB), 24000Hz (69.58dB to 79.58dB)</t>
  </si>
  <si>
    <t>33000Hz (69.58dB to 79.58dB), 24000Hz (64.53dB to 74.53dB)</t>
  </si>
  <si>
    <t>38000Hz (63.26dB to 73.26dB), 14500Hz (77.68dB to 87.68dB)</t>
  </si>
  <si>
    <t>38000Hz (77.68dB to 87.68dB), 14500Hz (63.26dB to 73.26dB)</t>
  </si>
  <si>
    <t>39000Hz (61.91dB to 71.91dB), 23500Hz (70.96dB to 80.96dB)</t>
  </si>
  <si>
    <t>39000Hz (70.96dB to 80.96dB), 23500Hz (61.91dB to 71.91dB)</t>
  </si>
  <si>
    <t>28000Hz (64.89dB to 74.89dB), 18500Hz (75.89dB to 85.89dB)</t>
  </si>
  <si>
    <t>28000Hz (75.89dB to 85.89dB), 18500Hz (64.89dB to 74.89dB)</t>
  </si>
  <si>
    <t>37000Hz (65.42dB to 75.42dB), 3000Hz (58.32dB to 68.32dB)</t>
  </si>
  <si>
    <t>40000Hz (70.93dB to 80.93dB), 21000Hz (63.24dB to 73.24dB)</t>
  </si>
  <si>
    <t>40000Hz (63.24dB to 73.24dB), 18000Hz (76.61dB to 86.61dB)</t>
  </si>
  <si>
    <t>40000Hz (76.61dB to 86.61dB), 18000Hz (63.24dB to 73.24dB)</t>
  </si>
  <si>
    <t>37000Hz (58.32dB to 68.32dB), 18000Hz (76.61dB to 86.61dB)</t>
  </si>
  <si>
    <t>37000Hz (76.61dB to 86.61dB), 18000Hz (58.32dB to 68.32dB)</t>
  </si>
  <si>
    <t>40000Hz (63.24dB to 73.24dB), 24000Hz (69.58dB to 79.58dB)</t>
  </si>
  <si>
    <t>40000Hz (69.58dB to 79.58dB), 24000Hz (63.24dB to 73.24dB)</t>
  </si>
  <si>
    <t>37000Hz (58.32dB to 68.32dB), 24000Hz (69.58dB to 79.58dB)</t>
  </si>
  <si>
    <t>37000Hz (69.58dB to 79.58dB), 24000Hz (58.32dB to 68.32dB)</t>
  </si>
  <si>
    <t>44000Hz (61.93dB to 71.93dB), 10000Hz (69.96dB to 79.96dB)</t>
  </si>
  <si>
    <t>44000Hz (69.96dB to 79.96dB), 10000Hz (61.93dB to 71.93dB)</t>
  </si>
  <si>
    <t>34000Hz (63.23dB to 73.23dB), 14000Hz (76.34dB to 86.34dB)</t>
  </si>
  <si>
    <t>34000Hz (76.34dB to 86.34dB), 14000Hz (63.23dB to 73.23dB)</t>
  </si>
  <si>
    <t>39000Hz (61.91dB to 71.91dB), 17500Hz (79.67dB to 89.67dB)</t>
  </si>
  <si>
    <t>39000Hz (79.67dB to 89.67dB), 17500Hz (61.91dB to 71.91dB)</t>
  </si>
  <si>
    <t>32000Hz (64.72dB to 74.72dB), 19000Hz (74.58dB to 84.58dB)</t>
  </si>
  <si>
    <t>32000Hz (74.58dB to 84.58dB), 19000Hz (64.72dB to 74.72dB)</t>
  </si>
  <si>
    <t>31000Hz (62.31dB to 72.31dB), 9000Hz (68.64dB to 78.64dB)</t>
  </si>
  <si>
    <t>31000Hz (68.64dB to 78.64dB), 9000Hz (62.31dB to 72.31dB)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</si>
</sst>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2" borderId="1" applyNumberFormat="0" applyFont="0" applyAlignment="0" applyProtection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14" fontId="2" fillId="0" borderId="0" xfId="0" applyNumberFormat="1" applyFont="1"/>
    <xf numFmtId="9" fontId="3" fillId="0" borderId="0" xfId="1" applyFont="1"/>
  </cellXfs>
  <cellStyles count="3">
    <cellStyle name="Normal" xfId="0" builtinId="0"/>
    <cellStyle name="Note" xfId="2" builtinId="10" customBuiltin="1"/>
    <cellStyle name="Percent" xfId="1" builtinId="5"/>
  </cellStyles>
  <dxfs count="959"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7"/>
      </font>
      <fill>
        <patternFill>
          <bgColor indexed="42"/>
        </patternFill>
      </fill>
    </dxf>
    <dxf>
      <font>
        <color indexed="60"/>
      </font>
      <fill>
        <patternFill>
          <bgColor indexed="26"/>
        </patternFill>
      </fill>
    </dxf>
    <dxf>
      <font>
        <color indexed="1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5"/>
  <sheetViews>
    <sheetView workbookViewId="0">
      <selection activeCell="K21" sqref="K21"/>
    </sheetView>
  </sheetViews>
  <sheetFormatPr defaultRowHeight="15"/>
  <cols>
    <col min="1" max="1" width="51.5703125" bestFit="1" customWidth="1"/>
  </cols>
  <sheetData>
    <row r="1" spans="1:2">
      <c r="A1" t="s">
        <v>0</v>
      </c>
    </row>
    <row r="2" spans="1:2">
      <c r="A2" t="s">
        <v>1</v>
      </c>
      <c r="B2" t="s">
        <v>4</v>
      </c>
    </row>
    <row r="3" spans="1:2">
      <c r="A3" t="s">
        <v>2</v>
      </c>
      <c r="B3">
        <v>3</v>
      </c>
    </row>
    <row r="4" spans="1:2">
      <c r="A4" t="s">
        <v>3</v>
      </c>
      <c r="B4">
        <v>6</v>
      </c>
    </row>
    <row r="5" spans="1:2">
      <c r="A5" t="s">
        <v>5</v>
      </c>
      <c r="B5">
        <v>1500</v>
      </c>
    </row>
    <row r="6" spans="1:2">
      <c r="A6" t="s">
        <v>6</v>
      </c>
      <c r="B6">
        <v>3</v>
      </c>
    </row>
    <row r="9" spans="1:2">
      <c r="A9" t="s">
        <v>25</v>
      </c>
      <c r="B9" t="b">
        <v>0</v>
      </c>
    </row>
    <row r="11" spans="1:2">
      <c r="A11" t="s">
        <v>27</v>
      </c>
      <c r="B11">
        <v>0.05</v>
      </c>
    </row>
    <row r="12" spans="1:2">
      <c r="A12" t="s">
        <v>28</v>
      </c>
      <c r="B12">
        <v>0.1</v>
      </c>
    </row>
    <row r="14" spans="1:2">
      <c r="A14" t="s">
        <v>1770</v>
      </c>
      <c r="B14">
        <v>14</v>
      </c>
    </row>
    <row r="15" spans="1:2">
      <c r="A15" t="s">
        <v>1771</v>
      </c>
      <c r="B15">
        <v>24</v>
      </c>
    </row>
  </sheetData>
  <dataConsolidate/>
  <conditionalFormatting sqref="B11">
    <cfRule type="cellIs" dxfId="957" priority="4" operator="lessThanOrEqual">
      <formula>0.05</formula>
    </cfRule>
  </conditionalFormatting>
  <conditionalFormatting sqref="B12">
    <cfRule type="cellIs" dxfId="956" priority="3" operator="lessThanOrEqual">
      <formula>0.1</formula>
    </cfRule>
  </conditionalFormatting>
  <conditionalFormatting sqref="B14">
    <cfRule type="cellIs" dxfId="954" priority="2" operator="notBetween">
      <formula>15</formula>
      <formula>85</formula>
    </cfRule>
  </conditionalFormatting>
  <conditionalFormatting sqref="B15">
    <cfRule type="cellIs" dxfId="955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6"/>
  <dimension ref="A4:A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4" spans="1:1">
      <c r="A94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B1:D1048576">
    <cfRule type="containsErrors" dxfId="958" priority="2">
      <formula>ISERROR(B1)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4"/>
  <dimension ref="A1:G897"/>
  <sheetViews>
    <sheetView tabSelected="1" workbookViewId="0"/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64</v>
      </c>
    </row>
    <row r="2" spans="1:7">
      <c r="A2" s="2" t="s">
        <v>65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1708</v>
      </c>
      <c r="B4">
        <v>366.8437406033878</v>
      </c>
      <c r="C4">
        <v>416.61500309981403</v>
      </c>
      <c r="D4">
        <v>389.51310861423218</v>
      </c>
    </row>
    <row r="5" spans="1:7">
      <c r="A5" s="1" t="s">
        <v>1709</v>
      </c>
      <c r="B5">
        <v>394.67737886015561</v>
      </c>
      <c r="C5">
        <v>338.94142208031434</v>
      </c>
      <c r="D5">
        <v>379.55465587044534</v>
      </c>
    </row>
    <row r="6" spans="1:7">
      <c r="A6" s="1" t="s">
        <v>1710</v>
      </c>
      <c r="B6">
        <v>331.27200230945539</v>
      </c>
      <c r="C6">
        <v>369.51501154734416</v>
      </c>
      <c r="D6">
        <v>369.68576709796668</v>
      </c>
    </row>
    <row r="7" spans="1:7">
      <c r="A7" s="1" t="s">
        <v>1711</v>
      </c>
      <c r="B7">
        <v>374.80411903883686</v>
      </c>
      <c r="C7">
        <v>360.63110443275735</v>
      </c>
      <c r="D7">
        <v>375.23452157598496</v>
      </c>
    </row>
    <row r="8" spans="1:7">
      <c r="A8" s="1"/>
    </row>
    <row r="9" spans="1:7">
      <c r="A9" s="4" t="s">
        <v>18</v>
      </c>
      <c r="B9">
        <v>4</v>
      </c>
    </row>
    <row r="10" spans="1:7">
      <c r="A10" s="4" t="s">
        <v>191</v>
      </c>
      <c r="B10">
        <v>1</v>
      </c>
    </row>
    <row r="11" spans="1:7">
      <c r="A11" s="4" t="s">
        <v>192</v>
      </c>
      <c r="B11">
        <v>3</v>
      </c>
    </row>
    <row r="12" spans="1:7">
      <c r="A12" s="6" t="s">
        <v>193</v>
      </c>
      <c r="B12">
        <v>25</v>
      </c>
    </row>
    <row r="13" spans="1:7">
      <c r="A13" s="1"/>
    </row>
    <row r="14" spans="1:7">
      <c r="A14" s="4" t="s">
        <v>19</v>
      </c>
      <c r="B14">
        <v>-7.0713779995998181</v>
      </c>
    </row>
    <row r="15" spans="1:7">
      <c r="A15" s="1" t="s">
        <v>20</v>
      </c>
      <c r="B15">
        <v>799.07294868791189</v>
      </c>
    </row>
    <row r="16" spans="1:7">
      <c r="A16" s="1" t="s">
        <v>23</v>
      </c>
      <c r="B16">
        <v>28.267878390284473</v>
      </c>
    </row>
    <row r="17" spans="1:7">
      <c r="A17" s="1" t="s">
        <v>24</v>
      </c>
      <c r="B17">
        <v>14.133939195142236</v>
      </c>
    </row>
    <row r="18" spans="1:7">
      <c r="A18" s="1" t="s">
        <v>21</v>
      </c>
      <c r="B18">
        <v>-0.50031190186740115</v>
      </c>
    </row>
    <row r="19" spans="1:7">
      <c r="A19" s="4" t="s">
        <v>22</v>
      </c>
      <c r="B19">
        <f>TDIST(ABS(B18),3,1)</f>
        <v>0.32562631008939913</v>
      </c>
    </row>
    <row r="21" spans="1:7">
      <c r="A21" s="2" t="s">
        <v>68</v>
      </c>
    </row>
    <row r="22" spans="1:7">
      <c r="A22" s="3" t="s">
        <v>7</v>
      </c>
      <c r="B22" s="3" t="s">
        <v>8</v>
      </c>
      <c r="C22" s="3" t="s">
        <v>9</v>
      </c>
      <c r="D22" s="3" t="s">
        <v>10</v>
      </c>
      <c r="E22" s="3" t="s">
        <v>11</v>
      </c>
      <c r="F22" s="3" t="s">
        <v>12</v>
      </c>
      <c r="G22" s="3" t="s">
        <v>13</v>
      </c>
    </row>
    <row r="23" spans="1:7">
      <c r="A23" t="s">
        <v>1712</v>
      </c>
      <c r="B23">
        <v>381.51504531117013</v>
      </c>
      <c r="C23">
        <v>330.53712282458997</v>
      </c>
      <c r="D23">
        <v>325.11933944007222</v>
      </c>
    </row>
    <row r="24" spans="1:7">
      <c r="A24" s="1" t="s">
        <v>1713</v>
      </c>
      <c r="B24" t="e">
        <f>NA()</f>
        <v>#N/A</v>
      </c>
      <c r="C24">
        <v>330.91000250689393</v>
      </c>
      <c r="D24">
        <v>364.55696202531647</v>
      </c>
      <c r="E24" t="s">
        <v>17</v>
      </c>
    </row>
    <row r="25" spans="1:7">
      <c r="A25" s="1" t="s">
        <v>1714</v>
      </c>
      <c r="B25">
        <v>377.84886045581766</v>
      </c>
      <c r="C25">
        <v>307.7674645823156</v>
      </c>
      <c r="D25">
        <v>289.12179255511381</v>
      </c>
    </row>
    <row r="26" spans="1:7">
      <c r="A26" s="1" t="s">
        <v>1715</v>
      </c>
      <c r="B26">
        <v>303.72133817817314</v>
      </c>
      <c r="C26">
        <v>324.24086464230572</v>
      </c>
      <c r="D26">
        <v>333.67037411526798</v>
      </c>
    </row>
    <row r="27" spans="1:7">
      <c r="A27" s="1"/>
    </row>
    <row r="28" spans="1:7">
      <c r="A28" s="4" t="s">
        <v>18</v>
      </c>
      <c r="B28">
        <v>4</v>
      </c>
    </row>
    <row r="29" spans="1:7">
      <c r="A29" s="4" t="s">
        <v>191</v>
      </c>
      <c r="B29">
        <v>2</v>
      </c>
    </row>
    <row r="30" spans="1:7">
      <c r="A30" s="4" t="s">
        <v>192</v>
      </c>
      <c r="B30">
        <v>2</v>
      </c>
    </row>
    <row r="31" spans="1:7">
      <c r="A31" s="6" t="s">
        <v>193</v>
      </c>
      <c r="B31">
        <v>50</v>
      </c>
    </row>
    <row r="32" spans="1:7">
      <c r="A32" s="1"/>
    </row>
    <row r="33" spans="1:7">
      <c r="A33" s="4" t="s">
        <v>19</v>
      </c>
      <c r="B33">
        <v>-4.7532533949163138</v>
      </c>
    </row>
    <row r="34" spans="1:7">
      <c r="A34" s="1" t="s">
        <v>20</v>
      </c>
      <c r="B34">
        <v>502.55777484581569</v>
      </c>
    </row>
    <row r="35" spans="1:7">
      <c r="A35" s="1" t="s">
        <v>23</v>
      </c>
      <c r="B35">
        <v>22.417800401596399</v>
      </c>
    </row>
    <row r="36" spans="1:7">
      <c r="A36" s="1" t="s">
        <v>24</v>
      </c>
      <c r="B36">
        <v>11.208900200798199</v>
      </c>
    </row>
    <row r="37" spans="1:7">
      <c r="A37" s="1" t="s">
        <v>21</v>
      </c>
      <c r="B37">
        <v>-0.42406064018464801</v>
      </c>
    </row>
    <row r="38" spans="1:7">
      <c r="A38" s="4" t="s">
        <v>22</v>
      </c>
      <c r="B38">
        <f>TDIST(ABS(B37),3,1)</f>
        <v>0.35004612146221648</v>
      </c>
    </row>
    <row r="39" spans="1:7">
      <c r="A39" s="1"/>
    </row>
    <row r="40" spans="1:7">
      <c r="A40" s="2" t="s">
        <v>153</v>
      </c>
    </row>
    <row r="41" spans="1:7">
      <c r="A41" s="3" t="s">
        <v>7</v>
      </c>
      <c r="B41" s="3" t="s">
        <v>8</v>
      </c>
      <c r="C41" s="3" t="s">
        <v>9</v>
      </c>
      <c r="D41" s="3" t="s">
        <v>10</v>
      </c>
      <c r="E41" s="3" t="s">
        <v>11</v>
      </c>
      <c r="F41" s="3" t="s">
        <v>12</v>
      </c>
      <c r="G41" s="3" t="s">
        <v>13</v>
      </c>
    </row>
    <row r="42" spans="1:7">
      <c r="A42" t="s">
        <v>1716</v>
      </c>
      <c r="B42">
        <v>335.97484995435116</v>
      </c>
      <c r="C42">
        <v>312.46125232486054</v>
      </c>
      <c r="D42">
        <v>311.97192252697255</v>
      </c>
    </row>
    <row r="43" spans="1:7">
      <c r="A43" t="s">
        <v>1717</v>
      </c>
      <c r="B43">
        <v>310.86519114688133</v>
      </c>
      <c r="C43">
        <v>351.23441079154998</v>
      </c>
      <c r="D43">
        <v>354.19997540277944</v>
      </c>
    </row>
    <row r="44" spans="1:7">
      <c r="A44" s="1" t="s">
        <v>1718</v>
      </c>
      <c r="B44">
        <v>288.52658199516594</v>
      </c>
      <c r="C44">
        <v>323.61628354950557</v>
      </c>
      <c r="D44">
        <v>334.0503606225484</v>
      </c>
    </row>
    <row r="45" spans="1:7">
      <c r="A45" s="1" t="s">
        <v>1719</v>
      </c>
      <c r="B45">
        <v>291.39338106443699</v>
      </c>
      <c r="C45">
        <v>283.87435931134183</v>
      </c>
      <c r="D45">
        <v>283.86454183266932</v>
      </c>
    </row>
    <row r="46" spans="1:7">
      <c r="A46" s="1"/>
    </row>
    <row r="47" spans="1:7">
      <c r="A47" s="4" t="s">
        <v>18</v>
      </c>
      <c r="B47">
        <v>4</v>
      </c>
    </row>
    <row r="48" spans="1:7">
      <c r="A48" s="4" t="s">
        <v>191</v>
      </c>
      <c r="B48">
        <v>2</v>
      </c>
    </row>
    <row r="49" spans="1:7">
      <c r="A49" s="4" t="s">
        <v>192</v>
      </c>
      <c r="B49">
        <v>2</v>
      </c>
    </row>
    <row r="50" spans="1:7">
      <c r="A50" s="6" t="s">
        <v>193</v>
      </c>
      <c r="B50">
        <v>50</v>
      </c>
    </row>
    <row r="51" spans="1:7">
      <c r="A51" s="1"/>
    </row>
    <row r="52" spans="1:7">
      <c r="A52" s="4" t="s">
        <v>19</v>
      </c>
      <c r="B52">
        <v>-3.2251236019279474</v>
      </c>
    </row>
    <row r="53" spans="1:7">
      <c r="A53" s="1" t="s">
        <v>20</v>
      </c>
      <c r="B53">
        <v>25.432796290904125</v>
      </c>
    </row>
    <row r="54" spans="1:7">
      <c r="A54" s="1" t="s">
        <v>23</v>
      </c>
      <c r="B54">
        <v>5.0430939204920744</v>
      </c>
    </row>
    <row r="55" spans="1:7">
      <c r="A55" s="1" t="s">
        <v>24</v>
      </c>
      <c r="B55">
        <v>2.5215469602460372</v>
      </c>
    </row>
    <row r="56" spans="1:7">
      <c r="A56" s="1" t="s">
        <v>21</v>
      </c>
      <c r="B56">
        <v>-1.2790257935998381</v>
      </c>
    </row>
    <row r="57" spans="1:7">
      <c r="A57" s="4" t="s">
        <v>22</v>
      </c>
      <c r="B57">
        <f>TDIST(ABS(B56),3,1)</f>
        <v>0.14542495151055373</v>
      </c>
    </row>
    <row r="58" spans="1:7">
      <c r="A58" s="1"/>
    </row>
    <row r="59" spans="1:7">
      <c r="A59" s="5" t="s">
        <v>154</v>
      </c>
    </row>
    <row r="60" spans="1:7">
      <c r="A60" s="4" t="s">
        <v>7</v>
      </c>
      <c r="B60" s="3" t="s">
        <v>8</v>
      </c>
      <c r="C60" s="3" t="s">
        <v>9</v>
      </c>
      <c r="D60" s="3" t="s">
        <v>10</v>
      </c>
      <c r="E60" s="3" t="s">
        <v>11</v>
      </c>
      <c r="F60" s="3" t="s">
        <v>12</v>
      </c>
      <c r="G60" s="3" t="s">
        <v>13</v>
      </c>
    </row>
    <row r="61" spans="1:7">
      <c r="A61" s="1" t="s">
        <v>1720</v>
      </c>
      <c r="B61" t="e">
        <f>NA()</f>
        <v>#N/A</v>
      </c>
      <c r="C61">
        <v>390.29343072049505</v>
      </c>
      <c r="D61">
        <v>345.04313039129892</v>
      </c>
      <c r="E61" t="s">
        <v>15</v>
      </c>
    </row>
    <row r="62" spans="1:7">
      <c r="A62" s="1" t="s">
        <v>1721</v>
      </c>
      <c r="B62">
        <v>313.69394731550369</v>
      </c>
      <c r="C62">
        <v>341.5502327526325</v>
      </c>
      <c r="D62">
        <v>299.10269192422732</v>
      </c>
    </row>
    <row r="63" spans="1:7">
      <c r="A63" s="1" t="s">
        <v>1722</v>
      </c>
      <c r="B63">
        <v>290.45689993901175</v>
      </c>
      <c r="C63">
        <v>280.16711722782014</v>
      </c>
      <c r="D63">
        <v>276.63934426229508</v>
      </c>
    </row>
    <row r="64" spans="1:7">
      <c r="A64" s="1" t="s">
        <v>1723</v>
      </c>
      <c r="B64">
        <v>277.70091812350648</v>
      </c>
      <c r="C64">
        <v>267.16141001855289</v>
      </c>
      <c r="D64">
        <v>267.99007444168734</v>
      </c>
    </row>
    <row r="65" spans="1:7">
      <c r="A65" s="1"/>
    </row>
    <row r="66" spans="1:7">
      <c r="A66" s="3" t="s">
        <v>18</v>
      </c>
      <c r="B66">
        <v>4</v>
      </c>
    </row>
    <row r="67" spans="1:7">
      <c r="A67" s="3" t="s">
        <v>191</v>
      </c>
      <c r="B67">
        <v>3</v>
      </c>
    </row>
    <row r="68" spans="1:7">
      <c r="A68" s="3" t="s">
        <v>192</v>
      </c>
      <c r="B68">
        <v>1</v>
      </c>
    </row>
    <row r="69" spans="1:7">
      <c r="A69" s="6" t="s">
        <v>193</v>
      </c>
      <c r="B69">
        <v>75</v>
      </c>
    </row>
    <row r="70" spans="1:7">
      <c r="A70" s="1"/>
    </row>
    <row r="71" spans="1:7">
      <c r="A71" s="4" t="s">
        <v>19</v>
      </c>
      <c r="B71">
        <v>22.59923742499798</v>
      </c>
    </row>
    <row r="72" spans="1:7">
      <c r="A72" s="1" t="s">
        <v>20</v>
      </c>
      <c r="B72">
        <v>606.53771343943788</v>
      </c>
    </row>
    <row r="73" spans="1:7">
      <c r="A73" s="1" t="s">
        <v>23</v>
      </c>
      <c r="B73">
        <v>24.627986386211884</v>
      </c>
    </row>
    <row r="74" spans="1:7">
      <c r="A74" s="1" t="s">
        <v>24</v>
      </c>
      <c r="B74">
        <v>12.313993193105942</v>
      </c>
    </row>
    <row r="75" spans="1:7">
      <c r="A75" s="1" t="s">
        <v>21</v>
      </c>
      <c r="B75">
        <v>1.8352484909322746</v>
      </c>
    </row>
    <row r="76" spans="1:7">
      <c r="A76" s="4" t="s">
        <v>22</v>
      </c>
      <c r="B76">
        <f>TDIST(ABS(B75),3,1)</f>
        <v>8.1905464675911629E-2</v>
      </c>
    </row>
    <row r="77" spans="1:7">
      <c r="A77" s="1"/>
    </row>
    <row r="78" spans="1:7">
      <c r="A78" s="5" t="s">
        <v>155</v>
      </c>
    </row>
    <row r="79" spans="1:7">
      <c r="A79" s="4" t="s">
        <v>7</v>
      </c>
      <c r="B79" s="3" t="s">
        <v>8</v>
      </c>
      <c r="C79" s="3" t="s">
        <v>9</v>
      </c>
      <c r="D79" s="3" t="s">
        <v>10</v>
      </c>
      <c r="E79" s="3" t="s">
        <v>11</v>
      </c>
      <c r="F79" s="3" t="s">
        <v>12</v>
      </c>
      <c r="G79" s="3" t="s">
        <v>13</v>
      </c>
    </row>
    <row r="80" spans="1:7">
      <c r="A80" s="1" t="s">
        <v>1724</v>
      </c>
      <c r="B80">
        <v>354.38271771789164</v>
      </c>
      <c r="C80">
        <v>284.00597907324362</v>
      </c>
      <c r="D80">
        <v>276.99410105155164</v>
      </c>
    </row>
    <row r="81" spans="1:4">
      <c r="A81" s="1" t="s">
        <v>1725</v>
      </c>
      <c r="B81">
        <v>339.53476725843205</v>
      </c>
      <c r="C81">
        <v>336.86359576368511</v>
      </c>
      <c r="D81">
        <v>326.32458090173873</v>
      </c>
    </row>
    <row r="82" spans="1:4">
      <c r="A82" s="1" t="s">
        <v>1726</v>
      </c>
      <c r="B82">
        <v>312.58693508004347</v>
      </c>
      <c r="C82">
        <v>318.50353892821033</v>
      </c>
      <c r="D82">
        <v>288.68067865282353</v>
      </c>
    </row>
    <row r="83" spans="1:4">
      <c r="A83" s="1" t="s">
        <v>1727</v>
      </c>
      <c r="B83">
        <v>290.95635654651807</v>
      </c>
      <c r="C83">
        <v>280.71903472051218</v>
      </c>
      <c r="D83">
        <v>306.08383949019219</v>
      </c>
    </row>
    <row r="84" spans="1:4">
      <c r="A84" s="1" t="s">
        <v>1728</v>
      </c>
      <c r="B84">
        <v>313.54642313546424</v>
      </c>
      <c r="C84">
        <v>409.88729548106306</v>
      </c>
      <c r="D84">
        <v>403.26653548384411</v>
      </c>
    </row>
    <row r="85" spans="1:4">
      <c r="A85" s="1" t="s">
        <v>1729</v>
      </c>
      <c r="B85">
        <v>405.99113771350852</v>
      </c>
      <c r="C85">
        <v>396.86428221460068</v>
      </c>
      <c r="D85">
        <v>375.14067775415782</v>
      </c>
    </row>
    <row r="86" spans="1:4">
      <c r="A86" s="1" t="s">
        <v>1730</v>
      </c>
      <c r="B86">
        <v>373.74827015547726</v>
      </c>
      <c r="C86">
        <v>339.23303834808257</v>
      </c>
      <c r="D86">
        <v>329.2591668745323</v>
      </c>
    </row>
    <row r="87" spans="1:4">
      <c r="A87" s="1" t="s">
        <v>1731</v>
      </c>
      <c r="B87">
        <v>285.08515902283523</v>
      </c>
      <c r="C87">
        <v>285.60691469372415</v>
      </c>
      <c r="D87">
        <v>291.26213592233006</v>
      </c>
    </row>
    <row r="88" spans="1:4">
      <c r="A88" s="1"/>
    </row>
    <row r="89" spans="1:4">
      <c r="A89" s="4" t="s">
        <v>18</v>
      </c>
      <c r="B89">
        <v>8</v>
      </c>
    </row>
    <row r="90" spans="1:4">
      <c r="A90" s="3" t="s">
        <v>191</v>
      </c>
      <c r="B90">
        <v>6</v>
      </c>
    </row>
    <row r="91" spans="1:4">
      <c r="A91" s="3" t="s">
        <v>192</v>
      </c>
      <c r="B91">
        <v>2</v>
      </c>
    </row>
    <row r="92" spans="1:4">
      <c r="A92" s="6" t="s">
        <v>193</v>
      </c>
      <c r="B92">
        <v>75</v>
      </c>
    </row>
    <row r="94" spans="1:4">
      <c r="A94" s="4" t="s">
        <v>19</v>
      </c>
      <c r="B94">
        <v>6.8339953864939176</v>
      </c>
    </row>
    <row r="95" spans="1:4">
      <c r="A95" t="s">
        <v>20</v>
      </c>
      <c r="B95">
        <v>280.94210473280015</v>
      </c>
    </row>
    <row r="96" spans="1:4">
      <c r="A96" t="s">
        <v>23</v>
      </c>
      <c r="B96">
        <v>16.761327654240286</v>
      </c>
    </row>
    <row r="97" spans="1:7">
      <c r="A97" t="s">
        <v>24</v>
      </c>
      <c r="B97">
        <v>5.9260242230014564</v>
      </c>
    </row>
    <row r="98" spans="1:7">
      <c r="A98" t="s">
        <v>21</v>
      </c>
      <c r="B98">
        <v>1.1532175923223926</v>
      </c>
    </row>
    <row r="99" spans="1:7">
      <c r="A99" s="4" t="s">
        <v>22</v>
      </c>
      <c r="B99">
        <f>TDIST(ABS(B98),7,1)</f>
        <v>0.14333703011949611</v>
      </c>
    </row>
    <row r="100" spans="1:7">
      <c r="A100" s="1"/>
    </row>
    <row r="101" spans="1:7">
      <c r="A101" s="5" t="s">
        <v>156</v>
      </c>
    </row>
    <row r="102" spans="1:7">
      <c r="A102" s="4" t="s">
        <v>7</v>
      </c>
      <c r="B102" s="3" t="s">
        <v>8</v>
      </c>
      <c r="C102" s="3" t="s">
        <v>9</v>
      </c>
      <c r="D102" s="3" t="s">
        <v>10</v>
      </c>
      <c r="E102" s="3" t="s">
        <v>11</v>
      </c>
      <c r="F102" s="3" t="s">
        <v>12</v>
      </c>
      <c r="G102" s="3" t="s">
        <v>13</v>
      </c>
    </row>
    <row r="103" spans="1:7">
      <c r="A103" s="1" t="s">
        <v>1314</v>
      </c>
      <c r="B103">
        <v>422.99310370720542</v>
      </c>
      <c r="C103">
        <v>367.5191244203354</v>
      </c>
      <c r="D103">
        <v>350.34272658035036</v>
      </c>
    </row>
    <row r="104" spans="1:7">
      <c r="A104" s="1" t="s">
        <v>1432</v>
      </c>
      <c r="B104">
        <v>414.20289866456176</v>
      </c>
      <c r="C104">
        <v>336.09166136218971</v>
      </c>
      <c r="D104">
        <v>329.50574138791814</v>
      </c>
    </row>
    <row r="105" spans="1:7">
      <c r="A105" s="1" t="s">
        <v>1316</v>
      </c>
      <c r="B105">
        <v>411.80132577364202</v>
      </c>
      <c r="C105">
        <v>337.72547012920558</v>
      </c>
      <c r="D105">
        <v>301.16702221106789</v>
      </c>
    </row>
    <row r="106" spans="1:7">
      <c r="A106" s="1" t="s">
        <v>1434</v>
      </c>
      <c r="B106">
        <v>316.93646843313871</v>
      </c>
      <c r="C106">
        <v>308.52105778648382</v>
      </c>
      <c r="D106">
        <v>299.77516862353235</v>
      </c>
    </row>
    <row r="107" spans="1:7">
      <c r="A107" s="1" t="s">
        <v>590</v>
      </c>
      <c r="B107">
        <v>397.12294707918068</v>
      </c>
      <c r="C107">
        <v>362.49213341724356</v>
      </c>
      <c r="D107">
        <v>350.29826120065997</v>
      </c>
    </row>
    <row r="108" spans="1:7">
      <c r="A108" s="1" t="s">
        <v>828</v>
      </c>
      <c r="B108">
        <v>351.0263269745231</v>
      </c>
      <c r="C108">
        <v>351.5625</v>
      </c>
      <c r="D108">
        <v>322.42305813385445</v>
      </c>
    </row>
    <row r="109" spans="1:7">
      <c r="A109" s="1" t="s">
        <v>829</v>
      </c>
      <c r="B109">
        <v>327.5896613905029</v>
      </c>
      <c r="C109">
        <v>368.4676084462389</v>
      </c>
      <c r="D109">
        <v>360.69606757182368</v>
      </c>
    </row>
    <row r="110" spans="1:7">
      <c r="A110" s="1" t="s">
        <v>591</v>
      </c>
      <c r="B110">
        <v>363.77406479070572</v>
      </c>
      <c r="C110">
        <v>369.60985626283372</v>
      </c>
      <c r="D110">
        <v>416.43634667542545</v>
      </c>
    </row>
    <row r="111" spans="1:7">
      <c r="A111" s="1"/>
    </row>
    <row r="112" spans="1:7">
      <c r="A112" s="4" t="s">
        <v>18</v>
      </c>
      <c r="B112">
        <v>8</v>
      </c>
    </row>
    <row r="113" spans="1:7">
      <c r="A113" s="4" t="s">
        <v>191</v>
      </c>
      <c r="B113">
        <v>7</v>
      </c>
    </row>
    <row r="114" spans="1:7">
      <c r="A114" s="4" t="s">
        <v>192</v>
      </c>
      <c r="B114">
        <v>1</v>
      </c>
    </row>
    <row r="115" spans="1:7">
      <c r="A115" s="6" t="s">
        <v>193</v>
      </c>
      <c r="B115">
        <v>87.5</v>
      </c>
    </row>
    <row r="116" spans="1:7">
      <c r="A116" s="1"/>
    </row>
    <row r="117" spans="1:7">
      <c r="A117" s="4" t="s">
        <v>19</v>
      </c>
      <c r="B117">
        <v>8.9181274299872992</v>
      </c>
    </row>
    <row r="118" spans="1:7">
      <c r="A118" s="1" t="s">
        <v>20</v>
      </c>
      <c r="B118">
        <v>623.72347786670457</v>
      </c>
    </row>
    <row r="119" spans="1:7">
      <c r="A119" s="1" t="s">
        <v>23</v>
      </c>
      <c r="B119">
        <v>24.974456507934352</v>
      </c>
    </row>
    <row r="120" spans="1:7">
      <c r="A120" t="s">
        <v>24</v>
      </c>
      <c r="B120">
        <v>8.829803776604443</v>
      </c>
    </row>
    <row r="121" spans="1:7">
      <c r="A121" t="s">
        <v>21</v>
      </c>
      <c r="B121">
        <v>1.0100029010403244</v>
      </c>
    </row>
    <row r="122" spans="1:7">
      <c r="A122" s="3" t="s">
        <v>22</v>
      </c>
      <c r="B122">
        <f>TDIST(ABS(B121),7,1)</f>
        <v>0.17306220824200863</v>
      </c>
    </row>
    <row r="124" spans="1:7">
      <c r="A124" s="5" t="s">
        <v>157</v>
      </c>
    </row>
    <row r="125" spans="1:7">
      <c r="A125" s="4" t="s">
        <v>7</v>
      </c>
      <c r="B125" s="3" t="s">
        <v>8</v>
      </c>
      <c r="C125" s="3" t="s">
        <v>9</v>
      </c>
      <c r="D125" s="3" t="s">
        <v>10</v>
      </c>
      <c r="E125" s="3" t="s">
        <v>11</v>
      </c>
      <c r="F125" s="3" t="s">
        <v>12</v>
      </c>
      <c r="G125" s="3" t="s">
        <v>13</v>
      </c>
    </row>
    <row r="126" spans="1:7">
      <c r="A126" s="1" t="s">
        <v>1370</v>
      </c>
      <c r="B126">
        <v>351.02021095547792</v>
      </c>
      <c r="C126">
        <v>300.94043887147336</v>
      </c>
      <c r="D126">
        <v>311.2322936756002</v>
      </c>
    </row>
    <row r="127" spans="1:7">
      <c r="A127" s="1" t="s">
        <v>1436</v>
      </c>
      <c r="B127">
        <v>302.28961939442308</v>
      </c>
      <c r="C127">
        <v>307.81069642170064</v>
      </c>
      <c r="D127">
        <v>299.06542056074767</v>
      </c>
    </row>
    <row r="128" spans="1:7">
      <c r="A128" s="1" t="s">
        <v>1437</v>
      </c>
      <c r="B128">
        <v>311.96880311968806</v>
      </c>
      <c r="C128">
        <v>340.90909090909093</v>
      </c>
      <c r="D128">
        <v>336.7085519092351</v>
      </c>
    </row>
    <row r="129" spans="1:4">
      <c r="A129" s="1" t="s">
        <v>1438</v>
      </c>
      <c r="B129">
        <v>335.80774327353686</v>
      </c>
      <c r="C129">
        <v>337.36707004033735</v>
      </c>
      <c r="D129">
        <v>310.45823227015637</v>
      </c>
    </row>
    <row r="130" spans="1:4">
      <c r="A130" s="1" t="s">
        <v>593</v>
      </c>
      <c r="B130">
        <v>357.74725292017911</v>
      </c>
      <c r="C130">
        <v>317.50031498047122</v>
      </c>
      <c r="D130">
        <v>340.27863395388982</v>
      </c>
    </row>
    <row r="131" spans="1:4">
      <c r="A131" s="1" t="s">
        <v>953</v>
      </c>
      <c r="B131">
        <v>308.52216872936253</v>
      </c>
      <c r="C131">
        <v>352.89792917534612</v>
      </c>
      <c r="D131">
        <v>339.63720571208029</v>
      </c>
    </row>
    <row r="132" spans="1:4">
      <c r="A132" s="1" t="s">
        <v>954</v>
      </c>
      <c r="B132">
        <v>313.44970488509358</v>
      </c>
      <c r="C132">
        <v>284.4350803265736</v>
      </c>
      <c r="D132">
        <v>282.27914270778882</v>
      </c>
    </row>
    <row r="133" spans="1:4">
      <c r="A133" s="1" t="s">
        <v>956</v>
      </c>
      <c r="B133">
        <v>306.75888588467853</v>
      </c>
      <c r="C133">
        <v>276.5647743813683</v>
      </c>
      <c r="D133">
        <v>268.92430278884461</v>
      </c>
    </row>
    <row r="134" spans="1:4">
      <c r="A134" s="1"/>
    </row>
    <row r="135" spans="1:4">
      <c r="A135" s="4" t="s">
        <v>18</v>
      </c>
      <c r="B135">
        <v>8</v>
      </c>
    </row>
    <row r="136" spans="1:4">
      <c r="A136" s="4" t="s">
        <v>191</v>
      </c>
      <c r="B136">
        <v>6</v>
      </c>
    </row>
    <row r="137" spans="1:4">
      <c r="A137" s="4" t="s">
        <v>192</v>
      </c>
      <c r="B137">
        <v>2</v>
      </c>
    </row>
    <row r="138" spans="1:4">
      <c r="A138" s="6" t="s">
        <v>193</v>
      </c>
      <c r="B138">
        <v>75</v>
      </c>
    </row>
    <row r="139" spans="1:4">
      <c r="A139" s="1"/>
    </row>
    <row r="140" spans="1:4">
      <c r="A140" s="4" t="s">
        <v>19</v>
      </c>
      <c r="B140">
        <v>3.730201441002329</v>
      </c>
    </row>
    <row r="141" spans="1:4">
      <c r="A141" s="1" t="s">
        <v>20</v>
      </c>
      <c r="B141">
        <v>224.36292229960583</v>
      </c>
    </row>
    <row r="142" spans="1:4">
      <c r="A142" s="1" t="s">
        <v>23</v>
      </c>
      <c r="B142">
        <v>14.978749023186342</v>
      </c>
    </row>
    <row r="143" spans="1:4">
      <c r="A143" s="1" t="s">
        <v>24</v>
      </c>
      <c r="B143">
        <v>5.2957875039932194</v>
      </c>
    </row>
    <row r="144" spans="1:4">
      <c r="A144" t="s">
        <v>21</v>
      </c>
      <c r="B144">
        <v>0.70437143450140693</v>
      </c>
    </row>
    <row r="145" spans="1:7">
      <c r="A145" s="3" t="s">
        <v>22</v>
      </c>
      <c r="B145">
        <f>TDIST(ABS(B144),7,1)</f>
        <v>0.25197694991211117</v>
      </c>
    </row>
    <row r="147" spans="1:7">
      <c r="A147" s="2" t="s">
        <v>158</v>
      </c>
    </row>
    <row r="148" spans="1:7">
      <c r="A148" s="4" t="s">
        <v>7</v>
      </c>
      <c r="B148" s="3" t="s">
        <v>8</v>
      </c>
      <c r="C148" s="3" t="s">
        <v>9</v>
      </c>
      <c r="D148" s="3" t="s">
        <v>10</v>
      </c>
      <c r="E148" s="3" t="s">
        <v>11</v>
      </c>
      <c r="F148" s="3" t="s">
        <v>12</v>
      </c>
      <c r="G148" s="3" t="s">
        <v>13</v>
      </c>
    </row>
    <row r="149" spans="1:7">
      <c r="A149" s="1" t="s">
        <v>1440</v>
      </c>
      <c r="B149">
        <v>323.49853595272231</v>
      </c>
      <c r="C149">
        <v>289.70775095298603</v>
      </c>
      <c r="D149">
        <v>287.59736369083282</v>
      </c>
    </row>
    <row r="150" spans="1:7">
      <c r="A150" s="1" t="s">
        <v>1373</v>
      </c>
      <c r="B150">
        <v>281.00214024927607</v>
      </c>
      <c r="C150">
        <v>285.8578784629189</v>
      </c>
      <c r="D150">
        <v>291.91680572337401</v>
      </c>
    </row>
    <row r="151" spans="1:7">
      <c r="A151" s="1" t="s">
        <v>1374</v>
      </c>
      <c r="B151" t="e">
        <f>NA()</f>
        <v>#N/A</v>
      </c>
      <c r="C151">
        <v>281.43322475570028</v>
      </c>
      <c r="D151">
        <v>284.39565922414869</v>
      </c>
      <c r="E151" t="s">
        <v>15</v>
      </c>
    </row>
    <row r="152" spans="1:7">
      <c r="A152" s="1" t="s">
        <v>1375</v>
      </c>
      <c r="B152">
        <v>349.54275023690377</v>
      </c>
      <c r="C152">
        <v>282.66798909000744</v>
      </c>
      <c r="D152">
        <v>290.69767441860466</v>
      </c>
    </row>
    <row r="153" spans="1:7">
      <c r="A153" s="1" t="s">
        <v>1473</v>
      </c>
      <c r="B153">
        <v>285.8432375507748</v>
      </c>
      <c r="C153">
        <v>344.13965087281798</v>
      </c>
      <c r="D153">
        <v>367.95707167497125</v>
      </c>
    </row>
    <row r="154" spans="1:7">
      <c r="A154" s="1" t="s">
        <v>1474</v>
      </c>
      <c r="B154">
        <v>346.10943455956573</v>
      </c>
      <c r="C154">
        <v>338.46153846153845</v>
      </c>
      <c r="D154">
        <v>350.57821059038349</v>
      </c>
    </row>
    <row r="155" spans="1:7">
      <c r="A155" s="1" t="s">
        <v>1377</v>
      </c>
      <c r="B155">
        <v>378.61341347052098</v>
      </c>
      <c r="C155">
        <v>361.86408439829302</v>
      </c>
      <c r="D155">
        <v>342.94234592445332</v>
      </c>
    </row>
    <row r="156" spans="1:7">
      <c r="A156" t="s">
        <v>1378</v>
      </c>
      <c r="B156">
        <v>362.95631004398876</v>
      </c>
      <c r="C156">
        <v>331.36575190202359</v>
      </c>
      <c r="D156">
        <v>350.36496350364962</v>
      </c>
    </row>
    <row r="157" spans="1:7">
      <c r="A157" t="s">
        <v>597</v>
      </c>
      <c r="B157">
        <v>311.44707296684629</v>
      </c>
      <c r="C157">
        <v>276.53123104912072</v>
      </c>
      <c r="D157">
        <v>274.5003611846858</v>
      </c>
    </row>
    <row r="158" spans="1:7">
      <c r="A158" t="s">
        <v>598</v>
      </c>
      <c r="B158">
        <v>275.56273342081357</v>
      </c>
      <c r="C158">
        <v>276.76270118563491</v>
      </c>
      <c r="D158">
        <v>276.35619242579321</v>
      </c>
    </row>
    <row r="159" spans="1:7">
      <c r="A159" t="s">
        <v>599</v>
      </c>
      <c r="B159" t="e">
        <f>NA()</f>
        <v>#N/A</v>
      </c>
      <c r="C159">
        <v>272.89955780164246</v>
      </c>
      <c r="D159">
        <v>275.16292541636494</v>
      </c>
      <c r="E159" t="s">
        <v>17</v>
      </c>
    </row>
    <row r="160" spans="1:7">
      <c r="A160" s="1" t="s">
        <v>834</v>
      </c>
      <c r="B160">
        <v>291.92006950477844</v>
      </c>
      <c r="C160">
        <v>330.3303303303303</v>
      </c>
      <c r="D160">
        <v>329.364958635135</v>
      </c>
    </row>
    <row r="161" spans="1:5">
      <c r="A161" s="1" t="s">
        <v>835</v>
      </c>
      <c r="B161">
        <v>287.4027114392253</v>
      </c>
      <c r="C161">
        <v>267.12059709309938</v>
      </c>
      <c r="D161">
        <v>272.41770715096482</v>
      </c>
    </row>
    <row r="162" spans="1:5">
      <c r="A162" s="1" t="s">
        <v>605</v>
      </c>
      <c r="B162" t="e">
        <f>NA()</f>
        <v>#N/A</v>
      </c>
      <c r="C162">
        <v>259.60804275897175</v>
      </c>
      <c r="D162">
        <v>257.02406450800049</v>
      </c>
      <c r="E162" t="s">
        <v>15</v>
      </c>
    </row>
    <row r="163" spans="1:5">
      <c r="A163" s="1" t="s">
        <v>836</v>
      </c>
      <c r="B163">
        <v>297.45646952970861</v>
      </c>
      <c r="C163">
        <v>265.3562653562654</v>
      </c>
      <c r="D163">
        <v>265.74803149606299</v>
      </c>
    </row>
    <row r="164" spans="1:5">
      <c r="A164" s="1" t="s">
        <v>838</v>
      </c>
      <c r="B164">
        <v>299.06542056074767</v>
      </c>
      <c r="C164">
        <v>380.71065989847716</v>
      </c>
      <c r="D164">
        <v>380.39502560351139</v>
      </c>
    </row>
    <row r="165" spans="1:5">
      <c r="A165" s="1"/>
    </row>
    <row r="166" spans="1:5">
      <c r="A166" s="4" t="s">
        <v>18</v>
      </c>
      <c r="B166">
        <v>16</v>
      </c>
    </row>
    <row r="167" spans="1:5">
      <c r="A167" s="3" t="s">
        <v>191</v>
      </c>
      <c r="B167">
        <v>7</v>
      </c>
    </row>
    <row r="168" spans="1:5">
      <c r="A168" s="3" t="s">
        <v>192</v>
      </c>
      <c r="B168">
        <v>9</v>
      </c>
    </row>
    <row r="169" spans="1:5">
      <c r="A169" s="6" t="s">
        <v>193</v>
      </c>
      <c r="B169">
        <v>43.75</v>
      </c>
    </row>
    <row r="171" spans="1:5">
      <c r="A171" s="4" t="s">
        <v>19</v>
      </c>
      <c r="B171">
        <v>-3.2876316750692953</v>
      </c>
    </row>
    <row r="172" spans="1:5">
      <c r="A172" s="1" t="s">
        <v>20</v>
      </c>
      <c r="B172">
        <v>94.659948862409394</v>
      </c>
    </row>
    <row r="173" spans="1:5">
      <c r="A173" s="1" t="s">
        <v>23</v>
      </c>
      <c r="B173">
        <v>9.7293344511538606</v>
      </c>
    </row>
    <row r="174" spans="1:5">
      <c r="A174" s="1" t="s">
        <v>24</v>
      </c>
      <c r="B174">
        <v>2.4323336127884652</v>
      </c>
    </row>
    <row r="175" spans="1:5">
      <c r="A175" s="1" t="s">
        <v>21</v>
      </c>
      <c r="B175">
        <v>-1.3516368222615249</v>
      </c>
    </row>
    <row r="176" spans="1:5">
      <c r="A176" s="4" t="s">
        <v>22</v>
      </c>
      <c r="B176">
        <f>TDIST(ABS(B175),15,1)</f>
        <v>9.8261924151533564E-2</v>
      </c>
    </row>
    <row r="177" spans="1:7">
      <c r="A177" s="1"/>
    </row>
    <row r="178" spans="1:7">
      <c r="A178" s="5" t="s">
        <v>159</v>
      </c>
    </row>
    <row r="179" spans="1:7">
      <c r="A179" s="4" t="s">
        <v>7</v>
      </c>
      <c r="B179" s="3" t="s">
        <v>8</v>
      </c>
      <c r="C179" s="3" t="s">
        <v>9</v>
      </c>
      <c r="D179" s="3" t="s">
        <v>10</v>
      </c>
      <c r="E179" s="3" t="s">
        <v>11</v>
      </c>
      <c r="F179" s="3" t="s">
        <v>12</v>
      </c>
      <c r="G179" s="3" t="s">
        <v>13</v>
      </c>
    </row>
    <row r="180" spans="1:7">
      <c r="A180" s="1" t="s">
        <v>1444</v>
      </c>
      <c r="B180">
        <v>334.08705648203824</v>
      </c>
      <c r="C180">
        <v>276.96793002915456</v>
      </c>
      <c r="D180">
        <v>280.48305414881185</v>
      </c>
    </row>
    <row r="181" spans="1:7">
      <c r="A181" s="1" t="s">
        <v>1319</v>
      </c>
      <c r="B181">
        <v>335.00336498915726</v>
      </c>
      <c r="C181">
        <v>285.2139104328246</v>
      </c>
      <c r="D181">
        <v>280.51181102362204</v>
      </c>
    </row>
    <row r="182" spans="1:7">
      <c r="A182" s="1" t="s">
        <v>1446</v>
      </c>
      <c r="B182">
        <v>282.50144005609957</v>
      </c>
      <c r="C182">
        <v>265.87887740029544</v>
      </c>
      <c r="D182">
        <v>273.77521613832852</v>
      </c>
    </row>
    <row r="183" spans="1:7">
      <c r="A183" s="1" t="s">
        <v>1320</v>
      </c>
      <c r="B183">
        <v>310.91829295834037</v>
      </c>
      <c r="C183">
        <v>272.48643875362689</v>
      </c>
      <c r="D183">
        <v>268.58990300920169</v>
      </c>
    </row>
    <row r="184" spans="1:7">
      <c r="A184" s="1" t="s">
        <v>1476</v>
      </c>
      <c r="B184">
        <v>298.45496796884817</v>
      </c>
      <c r="C184">
        <v>274.5995423340961</v>
      </c>
      <c r="D184" t="e">
        <f>NA()</f>
        <v>#N/A</v>
      </c>
      <c r="G184" t="s">
        <v>17</v>
      </c>
    </row>
    <row r="185" spans="1:7">
      <c r="A185" s="1" t="s">
        <v>1381</v>
      </c>
      <c r="B185">
        <v>278.7781100349161</v>
      </c>
      <c r="C185">
        <v>269.39386380643555</v>
      </c>
      <c r="D185">
        <v>268.02332795632213</v>
      </c>
    </row>
    <row r="186" spans="1:7">
      <c r="A186" s="1" t="s">
        <v>1382</v>
      </c>
      <c r="B186">
        <v>266.87990404318055</v>
      </c>
      <c r="C186">
        <v>262.95436968290795</v>
      </c>
      <c r="D186">
        <v>261.94144838212634</v>
      </c>
    </row>
    <row r="187" spans="1:7">
      <c r="A187" t="s">
        <v>1479</v>
      </c>
      <c r="B187">
        <v>332.57132802654729</v>
      </c>
      <c r="C187">
        <v>290.00254388196385</v>
      </c>
      <c r="D187">
        <v>276.99410105155164</v>
      </c>
    </row>
    <row r="188" spans="1:7">
      <c r="A188" t="s">
        <v>602</v>
      </c>
      <c r="B188">
        <v>339.86134603752697</v>
      </c>
      <c r="C188">
        <v>319.3511595488531</v>
      </c>
      <c r="D188">
        <v>314.60674157303367</v>
      </c>
    </row>
    <row r="189" spans="1:7">
      <c r="A189" t="s">
        <v>957</v>
      </c>
      <c r="B189">
        <v>322.58064516129036</v>
      </c>
      <c r="C189">
        <v>341.01087066020716</v>
      </c>
      <c r="D189">
        <v>347.73844021670658</v>
      </c>
    </row>
    <row r="190" spans="1:7">
      <c r="A190" t="s">
        <v>958</v>
      </c>
      <c r="B190">
        <v>286.86462003019625</v>
      </c>
      <c r="C190">
        <v>271.22049221496735</v>
      </c>
      <c r="D190">
        <v>268.22302247609582</v>
      </c>
    </row>
    <row r="191" spans="1:7">
      <c r="A191" s="1" t="s">
        <v>959</v>
      </c>
      <c r="B191">
        <v>271.999194076462</v>
      </c>
      <c r="C191">
        <v>273.14112291350528</v>
      </c>
      <c r="D191">
        <v>265.94434868259049</v>
      </c>
    </row>
    <row r="192" spans="1:7">
      <c r="A192" s="1" t="s">
        <v>962</v>
      </c>
      <c r="B192">
        <v>351.13167437789173</v>
      </c>
      <c r="C192">
        <v>334.46437227338828</v>
      </c>
      <c r="D192">
        <v>326.55378719143414</v>
      </c>
    </row>
    <row r="193" spans="1:5">
      <c r="A193" s="1" t="s">
        <v>610</v>
      </c>
      <c r="B193">
        <v>333.95317164475119</v>
      </c>
      <c r="C193">
        <v>331.61663107649798</v>
      </c>
      <c r="D193">
        <v>308.54726771044972</v>
      </c>
    </row>
    <row r="194" spans="1:5">
      <c r="A194" s="1" t="s">
        <v>964</v>
      </c>
      <c r="B194" t="e">
        <f>NA()</f>
        <v>#N/A</v>
      </c>
      <c r="C194">
        <v>377.8803358388368</v>
      </c>
      <c r="D194">
        <v>377.2635814889336</v>
      </c>
      <c r="E194" t="s">
        <v>49</v>
      </c>
    </row>
    <row r="195" spans="1:5">
      <c r="A195" s="1" t="s">
        <v>611</v>
      </c>
      <c r="B195">
        <v>406.01054831326496</v>
      </c>
      <c r="C195">
        <v>444.33473216489756</v>
      </c>
      <c r="D195">
        <v>401.08937855904929</v>
      </c>
    </row>
    <row r="196" spans="1:5">
      <c r="A196" s="1"/>
    </row>
    <row r="197" spans="1:5">
      <c r="A197" s="4" t="s">
        <v>18</v>
      </c>
      <c r="B197">
        <v>15</v>
      </c>
    </row>
    <row r="198" spans="1:5">
      <c r="A198" s="4" t="s">
        <v>191</v>
      </c>
      <c r="B198">
        <v>12</v>
      </c>
    </row>
    <row r="199" spans="1:5">
      <c r="A199" s="4" t="s">
        <v>192</v>
      </c>
      <c r="B199">
        <v>3</v>
      </c>
    </row>
    <row r="200" spans="1:5">
      <c r="A200" s="6" t="s">
        <v>193</v>
      </c>
      <c r="B200">
        <v>80</v>
      </c>
    </row>
    <row r="201" spans="1:5">
      <c r="A201" s="1"/>
    </row>
    <row r="202" spans="1:5">
      <c r="A202" s="4" t="s">
        <v>19</v>
      </c>
      <c r="B202">
        <v>6.3754814046736552</v>
      </c>
    </row>
    <row r="203" spans="1:5">
      <c r="A203" s="1" t="s">
        <v>20</v>
      </c>
      <c r="B203">
        <v>162.02039026025759</v>
      </c>
    </row>
    <row r="204" spans="1:5">
      <c r="A204" s="1" t="s">
        <v>23</v>
      </c>
      <c r="B204">
        <v>12.728723041226782</v>
      </c>
    </row>
    <row r="205" spans="1:5">
      <c r="A205" s="1" t="s">
        <v>24</v>
      </c>
      <c r="B205">
        <v>3.2865421571438636</v>
      </c>
    </row>
    <row r="206" spans="1:5">
      <c r="A206" t="s">
        <v>21</v>
      </c>
      <c r="B206">
        <v>1.9398751331442536</v>
      </c>
    </row>
    <row r="207" spans="1:5">
      <c r="A207" s="3" t="s">
        <v>22</v>
      </c>
      <c r="B207">
        <f>TDIST(ABS(B206),14,1)</f>
        <v>3.6406227631301684E-2</v>
      </c>
    </row>
    <row r="209" spans="1:7">
      <c r="A209" s="2" t="s">
        <v>123</v>
      </c>
    </row>
    <row r="210" spans="1:7">
      <c r="A210" s="4" t="s">
        <v>7</v>
      </c>
      <c r="B210" s="3" t="s">
        <v>8</v>
      </c>
      <c r="C210" s="3" t="s">
        <v>9</v>
      </c>
      <c r="D210" s="3" t="s">
        <v>10</v>
      </c>
      <c r="E210" s="3" t="s">
        <v>11</v>
      </c>
      <c r="F210" s="3" t="s">
        <v>12</v>
      </c>
      <c r="G210" s="3" t="s">
        <v>13</v>
      </c>
    </row>
    <row r="211" spans="1:7">
      <c r="A211" s="1" t="s">
        <v>1480</v>
      </c>
      <c r="B211">
        <v>463.37489683547574</v>
      </c>
      <c r="C211">
        <v>469.10466582597735</v>
      </c>
      <c r="D211">
        <v>468.00731261425955</v>
      </c>
    </row>
    <row r="212" spans="1:7">
      <c r="A212" s="1" t="s">
        <v>1321</v>
      </c>
      <c r="B212">
        <v>433.20213592719801</v>
      </c>
      <c r="C212">
        <v>412.37113402061857</v>
      </c>
      <c r="D212">
        <v>384.71023427866834</v>
      </c>
    </row>
    <row r="213" spans="1:7">
      <c r="A213" s="1" t="s">
        <v>1322</v>
      </c>
      <c r="B213">
        <v>378.47692934987856</v>
      </c>
      <c r="C213">
        <v>355.2387718083047</v>
      </c>
      <c r="D213">
        <v>358.11987067893557</v>
      </c>
    </row>
    <row r="214" spans="1:7">
      <c r="A214" s="1" t="s">
        <v>1481</v>
      </c>
      <c r="B214">
        <v>413.49347049863917</v>
      </c>
      <c r="C214">
        <v>414.11042944785282</v>
      </c>
      <c r="D214">
        <v>378.16714988024705</v>
      </c>
    </row>
    <row r="215" spans="1:7">
      <c r="A215" s="1"/>
    </row>
    <row r="216" spans="1:7">
      <c r="A216" s="4" t="s">
        <v>18</v>
      </c>
      <c r="B216">
        <v>4</v>
      </c>
    </row>
    <row r="217" spans="1:7">
      <c r="A217" s="4" t="s">
        <v>191</v>
      </c>
      <c r="B217">
        <v>3</v>
      </c>
    </row>
    <row r="218" spans="1:7">
      <c r="A218" s="3" t="s">
        <v>192</v>
      </c>
      <c r="B218">
        <v>1</v>
      </c>
    </row>
    <row r="219" spans="1:7">
      <c r="A219" s="6" t="s">
        <v>193</v>
      </c>
      <c r="B219">
        <v>75</v>
      </c>
    </row>
    <row r="221" spans="1:7">
      <c r="A221" s="3" t="s">
        <v>19</v>
      </c>
      <c r="B221">
        <v>15.455108412660735</v>
      </c>
    </row>
    <row r="222" spans="1:7">
      <c r="A222" s="1" t="s">
        <v>20</v>
      </c>
      <c r="B222">
        <v>370.36937706484008</v>
      </c>
    </row>
    <row r="223" spans="1:7">
      <c r="A223" s="1" t="s">
        <v>23</v>
      </c>
      <c r="B223">
        <v>19.244983166135533</v>
      </c>
    </row>
    <row r="224" spans="1:7">
      <c r="A224" s="1" t="s">
        <v>24</v>
      </c>
      <c r="B224">
        <v>9.6224915830677666</v>
      </c>
    </row>
    <row r="225" spans="1:7">
      <c r="A225" s="1" t="s">
        <v>21</v>
      </c>
      <c r="B225">
        <v>1.6061441342132574</v>
      </c>
    </row>
    <row r="226" spans="1:7">
      <c r="A226" s="4" t="s">
        <v>22</v>
      </c>
      <c r="B226">
        <f>TDIST(ABS(B225),3,1)</f>
        <v>0.10329723546569065</v>
      </c>
    </row>
    <row r="227" spans="1:7">
      <c r="A227" s="1"/>
    </row>
    <row r="228" spans="1:7">
      <c r="A228" s="5" t="s">
        <v>160</v>
      </c>
    </row>
    <row r="229" spans="1:7">
      <c r="A229" s="3" t="s">
        <v>7</v>
      </c>
      <c r="B229" s="3" t="s">
        <v>8</v>
      </c>
      <c r="C229" s="3" t="s">
        <v>9</v>
      </c>
      <c r="D229" s="3" t="s">
        <v>10</v>
      </c>
      <c r="E229" s="3" t="s">
        <v>11</v>
      </c>
      <c r="F229" s="3" t="s">
        <v>12</v>
      </c>
      <c r="G229" s="3" t="s">
        <v>13</v>
      </c>
    </row>
    <row r="230" spans="1:7">
      <c r="A230" t="s">
        <v>1485</v>
      </c>
      <c r="B230">
        <v>330.71102871173019</v>
      </c>
      <c r="C230">
        <v>310.077519379845</v>
      </c>
      <c r="D230">
        <v>313.19910514541385</v>
      </c>
    </row>
    <row r="231" spans="1:7">
      <c r="A231" t="s">
        <v>1326</v>
      </c>
      <c r="B231">
        <v>346.58319769625643</v>
      </c>
      <c r="C231">
        <v>291.47437454457128</v>
      </c>
      <c r="D231">
        <v>277.33852329400315</v>
      </c>
    </row>
    <row r="232" spans="1:7">
      <c r="A232" t="s">
        <v>1327</v>
      </c>
      <c r="B232">
        <v>296.97772667049975</v>
      </c>
      <c r="C232">
        <v>279.20646583394563</v>
      </c>
      <c r="D232">
        <v>290.00254388196385</v>
      </c>
    </row>
    <row r="233" spans="1:7">
      <c r="A233" s="1" t="s">
        <v>1486</v>
      </c>
      <c r="B233">
        <v>296.19181946403387</v>
      </c>
      <c r="C233">
        <v>279.30907754502022</v>
      </c>
      <c r="D233">
        <v>275.69528415961304</v>
      </c>
    </row>
    <row r="234" spans="1:7">
      <c r="A234" s="1"/>
    </row>
    <row r="235" spans="1:7">
      <c r="A235" s="4" t="s">
        <v>18</v>
      </c>
      <c r="B235">
        <v>4</v>
      </c>
    </row>
    <row r="236" spans="1:7">
      <c r="A236" s="4" t="s">
        <v>191</v>
      </c>
      <c r="B236">
        <v>2</v>
      </c>
    </row>
    <row r="237" spans="1:7">
      <c r="A237" s="4" t="s">
        <v>192</v>
      </c>
      <c r="B237">
        <v>2</v>
      </c>
    </row>
    <row r="238" spans="1:7">
      <c r="A238" s="6" t="s">
        <v>193</v>
      </c>
      <c r="B238">
        <v>50</v>
      </c>
    </row>
    <row r="239" spans="1:7">
      <c r="A239" s="1"/>
    </row>
    <row r="240" spans="1:7">
      <c r="A240" s="4" t="s">
        <v>19</v>
      </c>
      <c r="B240">
        <v>0.95799520559705797</v>
      </c>
    </row>
    <row r="241" spans="1:7">
      <c r="A241" t="s">
        <v>20</v>
      </c>
      <c r="B241">
        <v>111.83679095517205</v>
      </c>
    </row>
    <row r="242" spans="1:7">
      <c r="A242" t="s">
        <v>23</v>
      </c>
      <c r="B242">
        <v>10.57529153050506</v>
      </c>
    </row>
    <row r="243" spans="1:7">
      <c r="A243" t="s">
        <v>24</v>
      </c>
      <c r="B243">
        <v>5.2876457652525302</v>
      </c>
    </row>
    <row r="244" spans="1:7">
      <c r="A244" t="s">
        <v>21</v>
      </c>
      <c r="B244">
        <v>0.18117613170921359</v>
      </c>
    </row>
    <row r="245" spans="1:7">
      <c r="A245" s="4" t="s">
        <v>22</v>
      </c>
      <c r="B245">
        <f>TDIST(ABS(B244),3,1)</f>
        <v>0.43388925503067116</v>
      </c>
    </row>
    <row r="246" spans="1:7">
      <c r="A246" s="1"/>
    </row>
    <row r="247" spans="1:7">
      <c r="A247" s="5" t="s">
        <v>161</v>
      </c>
    </row>
    <row r="248" spans="1:7">
      <c r="A248" s="4" t="s">
        <v>7</v>
      </c>
      <c r="B248" s="3" t="s">
        <v>8</v>
      </c>
      <c r="C248" s="3" t="s">
        <v>9</v>
      </c>
      <c r="D248" s="3" t="s">
        <v>10</v>
      </c>
      <c r="E248" s="3" t="s">
        <v>11</v>
      </c>
      <c r="F248" s="3" t="s">
        <v>12</v>
      </c>
      <c r="G248" s="3" t="s">
        <v>13</v>
      </c>
    </row>
    <row r="249" spans="1:7">
      <c r="A249" s="1" t="s">
        <v>1329</v>
      </c>
      <c r="B249">
        <v>326.51838538156221</v>
      </c>
      <c r="C249">
        <v>300.63885757234124</v>
      </c>
      <c r="D249">
        <v>317.26048092660204</v>
      </c>
    </row>
    <row r="250" spans="1:7">
      <c r="A250" s="1" t="s">
        <v>1449</v>
      </c>
      <c r="B250">
        <v>358.00412699201951</v>
      </c>
      <c r="C250">
        <v>381.19440914866584</v>
      </c>
      <c r="D250">
        <v>371.56304186276935</v>
      </c>
    </row>
    <row r="251" spans="1:7">
      <c r="A251" s="1" t="s">
        <v>1330</v>
      </c>
      <c r="B251">
        <v>356.64666206993076</v>
      </c>
      <c r="C251">
        <v>377.73860488541931</v>
      </c>
      <c r="D251">
        <v>353.03146584804296</v>
      </c>
    </row>
    <row r="252" spans="1:7">
      <c r="A252" s="1" t="s">
        <v>1450</v>
      </c>
      <c r="B252">
        <v>350.18581797321229</v>
      </c>
      <c r="C252">
        <v>337.03748931493465</v>
      </c>
      <c r="D252">
        <v>367.96271311173803</v>
      </c>
    </row>
    <row r="253" spans="1:7">
      <c r="A253" s="1" t="s">
        <v>1456</v>
      </c>
      <c r="B253">
        <v>319.39736346516008</v>
      </c>
      <c r="C253">
        <v>264.15555827320532</v>
      </c>
      <c r="D253">
        <v>266.00985221674875</v>
      </c>
    </row>
    <row r="254" spans="1:7">
      <c r="A254" s="1" t="s">
        <v>1338</v>
      </c>
      <c r="B254">
        <v>298.88664723903457</v>
      </c>
      <c r="C254">
        <v>327.90957645013043</v>
      </c>
      <c r="D254">
        <v>338.15806327654673</v>
      </c>
    </row>
    <row r="255" spans="1:7">
      <c r="A255" t="s">
        <v>1458</v>
      </c>
      <c r="B255">
        <v>318.08747405536525</v>
      </c>
      <c r="C255">
        <v>325.37120723047127</v>
      </c>
      <c r="D255">
        <v>305.69354222392053</v>
      </c>
    </row>
    <row r="256" spans="1:7">
      <c r="A256" t="s">
        <v>1459</v>
      </c>
      <c r="B256">
        <v>298.3145229453587</v>
      </c>
      <c r="C256">
        <v>257.51072961373393</v>
      </c>
      <c r="D256">
        <v>268.08985974928635</v>
      </c>
    </row>
    <row r="258" spans="1:7">
      <c r="A258" s="3" t="s">
        <v>18</v>
      </c>
      <c r="B258">
        <v>8</v>
      </c>
    </row>
    <row r="259" spans="1:7">
      <c r="A259" s="4" t="s">
        <v>191</v>
      </c>
      <c r="B259">
        <v>3</v>
      </c>
    </row>
    <row r="260" spans="1:7">
      <c r="A260" s="4" t="s">
        <v>192</v>
      </c>
      <c r="B260">
        <v>5</v>
      </c>
    </row>
    <row r="261" spans="1:7">
      <c r="A261" s="6" t="s">
        <v>193</v>
      </c>
      <c r="B261">
        <v>37.5</v>
      </c>
    </row>
    <row r="262" spans="1:7">
      <c r="A262" s="1"/>
    </row>
    <row r="263" spans="1:7">
      <c r="A263" s="4" t="s">
        <v>19</v>
      </c>
      <c r="B263">
        <v>-2.0265733408440951</v>
      </c>
    </row>
    <row r="264" spans="1:7">
      <c r="A264" s="1" t="s">
        <v>20</v>
      </c>
      <c r="B264">
        <v>358.65659596715437</v>
      </c>
    </row>
    <row r="265" spans="1:7">
      <c r="A265" s="1" t="s">
        <v>23</v>
      </c>
      <c r="B265">
        <v>18.938231067529891</v>
      </c>
    </row>
    <row r="266" spans="1:7">
      <c r="A266" s="1" t="s">
        <v>24</v>
      </c>
      <c r="B266">
        <v>6.6956758057640675</v>
      </c>
    </row>
    <row r="267" spans="1:7">
      <c r="A267" s="1" t="s">
        <v>21</v>
      </c>
      <c r="B267">
        <v>-0.30266897616212102</v>
      </c>
    </row>
    <row r="268" spans="1:7">
      <c r="A268" s="4" t="s">
        <v>22</v>
      </c>
      <c r="B268">
        <f>TDIST(ABS(B267),7,1)</f>
        <v>0.38546912308492209</v>
      </c>
    </row>
    <row r="269" spans="1:7">
      <c r="A269" s="1"/>
    </row>
    <row r="270" spans="1:7">
      <c r="A270" s="5" t="s">
        <v>162</v>
      </c>
    </row>
    <row r="271" spans="1:7">
      <c r="A271" s="4" t="s">
        <v>7</v>
      </c>
      <c r="B271" s="3" t="s">
        <v>8</v>
      </c>
      <c r="C271" s="3" t="s">
        <v>9</v>
      </c>
      <c r="D271" s="3" t="s">
        <v>10</v>
      </c>
      <c r="E271" s="3" t="s">
        <v>11</v>
      </c>
      <c r="F271" s="3" t="s">
        <v>12</v>
      </c>
      <c r="G271" s="3" t="s">
        <v>13</v>
      </c>
    </row>
    <row r="272" spans="1:7">
      <c r="A272" s="1" t="s">
        <v>1453</v>
      </c>
      <c r="B272">
        <v>294.33625687527876</v>
      </c>
      <c r="C272">
        <v>265.03067484662574</v>
      </c>
      <c r="D272">
        <v>268.22302247609582</v>
      </c>
    </row>
    <row r="273" spans="1:4">
      <c r="A273" s="1" t="s">
        <v>1333</v>
      </c>
      <c r="B273">
        <v>259.8630989421282</v>
      </c>
      <c r="C273">
        <v>255.12756378189093</v>
      </c>
      <c r="D273">
        <v>256.89459765772574</v>
      </c>
    </row>
    <row r="274" spans="1:4">
      <c r="A274" t="s">
        <v>1454</v>
      </c>
      <c r="B274">
        <v>283.96353310416976</v>
      </c>
      <c r="C274">
        <v>260.07139214686384</v>
      </c>
      <c r="D274">
        <v>270.84639498432603</v>
      </c>
    </row>
    <row r="275" spans="1:4">
      <c r="A275" t="s">
        <v>1455</v>
      </c>
      <c r="B275">
        <v>291.99902913819562</v>
      </c>
      <c r="C275">
        <v>263.41463414634148</v>
      </c>
      <c r="D275">
        <v>260.37013401403959</v>
      </c>
    </row>
    <row r="277" spans="1:4">
      <c r="A277" s="3" t="s">
        <v>18</v>
      </c>
      <c r="B277">
        <v>4</v>
      </c>
    </row>
    <row r="278" spans="1:4">
      <c r="A278" s="4" t="s">
        <v>191</v>
      </c>
      <c r="B278">
        <v>1</v>
      </c>
    </row>
    <row r="279" spans="1:4">
      <c r="A279" s="4" t="s">
        <v>192</v>
      </c>
      <c r="B279">
        <v>3</v>
      </c>
    </row>
    <row r="280" spans="1:4">
      <c r="A280" s="6" t="s">
        <v>193</v>
      </c>
      <c r="B280">
        <v>25</v>
      </c>
    </row>
    <row r="281" spans="1:4">
      <c r="A281" s="1"/>
    </row>
    <row r="282" spans="1:4">
      <c r="A282" s="4" t="s">
        <v>19</v>
      </c>
      <c r="B282">
        <v>-3.1724710526162951</v>
      </c>
    </row>
    <row r="283" spans="1:4">
      <c r="A283" s="1" t="s">
        <v>20</v>
      </c>
      <c r="B283">
        <v>32.808289663293984</v>
      </c>
    </row>
    <row r="284" spans="1:4">
      <c r="A284" s="1" t="s">
        <v>23</v>
      </c>
      <c r="B284">
        <v>5.7278520985875661</v>
      </c>
    </row>
    <row r="285" spans="1:4">
      <c r="A285" s="1" t="s">
        <v>24</v>
      </c>
      <c r="B285">
        <v>2.863926049293783</v>
      </c>
    </row>
    <row r="286" spans="1:4">
      <c r="A286" s="1" t="s">
        <v>21</v>
      </c>
      <c r="B286">
        <v>-1.1077349756983412</v>
      </c>
    </row>
    <row r="287" spans="1:4">
      <c r="A287" s="4" t="s">
        <v>22</v>
      </c>
      <c r="B287">
        <f>TDIST(ABS(B286),3,1)</f>
        <v>0.174403789870336</v>
      </c>
    </row>
    <row r="288" spans="1:4">
      <c r="A288" s="1"/>
    </row>
    <row r="289" spans="1:7">
      <c r="A289" s="5" t="s">
        <v>163</v>
      </c>
    </row>
    <row r="290" spans="1:7">
      <c r="A290" s="4" t="s">
        <v>7</v>
      </c>
      <c r="B290" s="3" t="s">
        <v>8</v>
      </c>
      <c r="C290" s="3" t="s">
        <v>9</v>
      </c>
      <c r="D290" s="3" t="s">
        <v>10</v>
      </c>
      <c r="E290" s="3" t="s">
        <v>11</v>
      </c>
      <c r="F290" s="3" t="s">
        <v>12</v>
      </c>
      <c r="G290" s="3" t="s">
        <v>13</v>
      </c>
    </row>
    <row r="291" spans="1:7">
      <c r="A291" s="1" t="s">
        <v>1460</v>
      </c>
      <c r="B291">
        <v>324.57612261764632</v>
      </c>
      <c r="C291">
        <v>382.11692777990066</v>
      </c>
      <c r="D291">
        <v>352.20741103094042</v>
      </c>
    </row>
    <row r="292" spans="1:7">
      <c r="A292" s="1" t="s">
        <v>1341</v>
      </c>
      <c r="B292">
        <v>393</v>
      </c>
      <c r="C292">
        <v>435.48992616693783</v>
      </c>
      <c r="D292">
        <v>428.41314785177894</v>
      </c>
    </row>
    <row r="293" spans="1:7">
      <c r="A293" s="1" t="s">
        <v>1462</v>
      </c>
      <c r="B293">
        <v>304.65191527490856</v>
      </c>
      <c r="C293">
        <v>369.08881199538638</v>
      </c>
      <c r="D293">
        <v>326.89450222882618</v>
      </c>
    </row>
    <row r="294" spans="1:7">
      <c r="A294" t="s">
        <v>1463</v>
      </c>
      <c r="B294">
        <v>296.82190685588648</v>
      </c>
      <c r="C294">
        <v>294.9852507374631</v>
      </c>
      <c r="D294">
        <v>380.90401218892839</v>
      </c>
    </row>
    <row r="296" spans="1:7">
      <c r="A296" s="3" t="s">
        <v>18</v>
      </c>
      <c r="B296">
        <v>4</v>
      </c>
    </row>
    <row r="297" spans="1:7">
      <c r="A297" s="3" t="s">
        <v>191</v>
      </c>
      <c r="B297">
        <v>3</v>
      </c>
    </row>
    <row r="298" spans="1:7">
      <c r="A298" s="4" t="s">
        <v>192</v>
      </c>
      <c r="B298">
        <v>1</v>
      </c>
    </row>
    <row r="299" spans="1:7">
      <c r="A299" s="6" t="s">
        <v>193</v>
      </c>
      <c r="B299">
        <v>75</v>
      </c>
    </row>
    <row r="300" spans="1:7">
      <c r="A300" s="1"/>
    </row>
    <row r="301" spans="1:7">
      <c r="A301" s="4" t="s">
        <v>19</v>
      </c>
      <c r="B301">
        <v>-1.6845391551964903</v>
      </c>
    </row>
    <row r="302" spans="1:7">
      <c r="A302" s="1" t="s">
        <v>20</v>
      </c>
      <c r="B302">
        <v>3365.2342136156367</v>
      </c>
    </row>
    <row r="303" spans="1:7">
      <c r="A303" s="1" t="s">
        <v>23</v>
      </c>
      <c r="B303">
        <v>58.010638796824473</v>
      </c>
    </row>
    <row r="304" spans="1:7">
      <c r="A304" t="s">
        <v>24</v>
      </c>
      <c r="B304">
        <v>29.005319398412237</v>
      </c>
    </row>
    <row r="305" spans="1:7">
      <c r="A305" t="s">
        <v>21</v>
      </c>
      <c r="B305">
        <v>-5.8076904172574037E-2</v>
      </c>
    </row>
    <row r="306" spans="1:7">
      <c r="A306" s="3" t="s">
        <v>22</v>
      </c>
      <c r="B306">
        <f>TDIST(ABS(B305),3,1)</f>
        <v>0.47866966678109368</v>
      </c>
    </row>
    <row r="308" spans="1:7">
      <c r="A308" s="5" t="s">
        <v>1764</v>
      </c>
    </row>
    <row r="309" spans="1:7">
      <c r="A309" s="4" t="s">
        <v>7</v>
      </c>
      <c r="B309" s="3" t="s">
        <v>8</v>
      </c>
      <c r="C309" s="3" t="s">
        <v>9</v>
      </c>
      <c r="D309" s="3" t="s">
        <v>10</v>
      </c>
      <c r="E309" s="3" t="s">
        <v>11</v>
      </c>
      <c r="F309" s="3" t="s">
        <v>12</v>
      </c>
      <c r="G309" s="3" t="s">
        <v>13</v>
      </c>
    </row>
    <row r="310" spans="1:7">
      <c r="A310" s="1" t="s">
        <v>1346</v>
      </c>
      <c r="B310">
        <v>350.76064765404448</v>
      </c>
      <c r="C310">
        <v>310.26840679635558</v>
      </c>
      <c r="D310">
        <v>311.03431251542827</v>
      </c>
    </row>
    <row r="311" spans="1:7">
      <c r="A311" s="1" t="s">
        <v>1489</v>
      </c>
      <c r="B311">
        <v>317.79343426772596</v>
      </c>
      <c r="C311">
        <v>308.6344151867728</v>
      </c>
      <c r="D311">
        <v>324.11575562700966</v>
      </c>
    </row>
    <row r="312" spans="1:7">
      <c r="A312" t="s">
        <v>1490</v>
      </c>
      <c r="B312">
        <v>295.68540681886753</v>
      </c>
      <c r="C312">
        <v>324.48377581120945</v>
      </c>
      <c r="D312">
        <v>320.89647268559787</v>
      </c>
    </row>
    <row r="313" spans="1:7">
      <c r="A313" t="s">
        <v>1347</v>
      </c>
      <c r="B313">
        <v>336.3195035283519</v>
      </c>
      <c r="C313">
        <v>312.84916201117318</v>
      </c>
      <c r="D313">
        <v>321.44161694873981</v>
      </c>
    </row>
    <row r="315" spans="1:7">
      <c r="A315" s="3" t="s">
        <v>18</v>
      </c>
      <c r="B315">
        <v>4</v>
      </c>
    </row>
    <row r="316" spans="1:7">
      <c r="A316" s="4" t="s">
        <v>191</v>
      </c>
      <c r="B316">
        <v>1</v>
      </c>
    </row>
    <row r="317" spans="1:7">
      <c r="A317" s="4" t="s">
        <v>192</v>
      </c>
      <c r="B317">
        <v>3</v>
      </c>
    </row>
    <row r="318" spans="1:7">
      <c r="A318" s="6" t="s">
        <v>193</v>
      </c>
      <c r="B318">
        <v>25</v>
      </c>
    </row>
    <row r="319" spans="1:7">
      <c r="A319" s="1"/>
    </row>
    <row r="320" spans="1:7">
      <c r="A320" s="4" t="s">
        <v>19</v>
      </c>
      <c r="B320">
        <v>-5.3130994928161499</v>
      </c>
    </row>
    <row r="321" spans="1:7">
      <c r="A321" s="1" t="s">
        <v>20</v>
      </c>
      <c r="B321">
        <v>71.347144694634807</v>
      </c>
    </row>
    <row r="322" spans="1:7">
      <c r="A322" s="1" t="s">
        <v>23</v>
      </c>
      <c r="B322">
        <v>8.4467239030664913</v>
      </c>
    </row>
    <row r="323" spans="1:7">
      <c r="A323" s="1" t="s">
        <v>24</v>
      </c>
      <c r="B323">
        <v>4.2233619515332457</v>
      </c>
    </row>
    <row r="324" spans="1:7">
      <c r="A324" s="1" t="s">
        <v>21</v>
      </c>
      <c r="B324">
        <v>-1.2580260829615342</v>
      </c>
    </row>
    <row r="325" spans="1:7">
      <c r="A325" s="4" t="s">
        <v>22</v>
      </c>
      <c r="B325">
        <f>TDIST(ABS(B324),3,1)</f>
        <v>0.14869489086097104</v>
      </c>
    </row>
    <row r="326" spans="1:7">
      <c r="A326" s="1"/>
    </row>
    <row r="327" spans="1:7">
      <c r="A327" s="5" t="s">
        <v>1765</v>
      </c>
    </row>
    <row r="328" spans="1:7">
      <c r="A328" s="4" t="s">
        <v>7</v>
      </c>
      <c r="B328" s="3" t="s">
        <v>8</v>
      </c>
      <c r="C328" s="3" t="s">
        <v>9</v>
      </c>
      <c r="D328" s="3" t="s">
        <v>10</v>
      </c>
      <c r="E328" s="3" t="s">
        <v>11</v>
      </c>
      <c r="F328" s="3" t="s">
        <v>12</v>
      </c>
      <c r="G328" s="3" t="s">
        <v>13</v>
      </c>
    </row>
    <row r="329" spans="1:7">
      <c r="A329" s="1" t="s">
        <v>1349</v>
      </c>
      <c r="B329">
        <v>301.48481270256013</v>
      </c>
      <c r="C329">
        <v>287.47951078048163</v>
      </c>
      <c r="D329">
        <v>277.06516162134426</v>
      </c>
    </row>
    <row r="330" spans="1:7">
      <c r="A330" s="1" t="s">
        <v>1465</v>
      </c>
      <c r="B330">
        <v>295.04741833508956</v>
      </c>
      <c r="C330">
        <v>275.96780375622842</v>
      </c>
      <c r="D330">
        <v>317.99566369549507</v>
      </c>
    </row>
    <row r="331" spans="1:7">
      <c r="A331" s="1" t="s">
        <v>1467</v>
      </c>
      <c r="B331">
        <v>316.20950134263558</v>
      </c>
      <c r="C331">
        <v>291.82132343530014</v>
      </c>
      <c r="D331">
        <v>284.64419475655427</v>
      </c>
    </row>
    <row r="332" spans="1:7">
      <c r="A332" s="1" t="s">
        <v>1351</v>
      </c>
      <c r="B332">
        <v>323.433990516596</v>
      </c>
      <c r="C332">
        <v>293.96596183599792</v>
      </c>
      <c r="D332">
        <v>283.4763148079075</v>
      </c>
    </row>
    <row r="334" spans="1:7">
      <c r="A334" s="3" t="s">
        <v>18</v>
      </c>
      <c r="B334">
        <v>4</v>
      </c>
    </row>
    <row r="335" spans="1:7">
      <c r="A335" s="3" t="s">
        <v>191</v>
      </c>
      <c r="B335">
        <v>3</v>
      </c>
    </row>
    <row r="336" spans="1:7">
      <c r="A336" s="3" t="s">
        <v>192</v>
      </c>
      <c r="B336">
        <v>1</v>
      </c>
    </row>
    <row r="337" spans="1:7">
      <c r="A337" s="6" t="s">
        <v>193</v>
      </c>
      <c r="B337">
        <v>75</v>
      </c>
    </row>
    <row r="338" spans="1:7">
      <c r="A338" s="1"/>
    </row>
    <row r="339" spans="1:7">
      <c r="A339" s="4" t="s">
        <v>19</v>
      </c>
      <c r="B339">
        <v>-3.4866837683232466</v>
      </c>
    </row>
    <row r="340" spans="1:7">
      <c r="A340" s="1" t="s">
        <v>20</v>
      </c>
      <c r="B340">
        <v>662.57189850902898</v>
      </c>
    </row>
    <row r="341" spans="1:7">
      <c r="A341" s="1" t="s">
        <v>23</v>
      </c>
      <c r="B341">
        <v>25.740471994682402</v>
      </c>
    </row>
    <row r="342" spans="1:7">
      <c r="A342" s="1" t="s">
        <v>24</v>
      </c>
      <c r="B342">
        <v>12.870235997341201</v>
      </c>
    </row>
    <row r="343" spans="1:7">
      <c r="A343" s="1" t="s">
        <v>21</v>
      </c>
      <c r="B343">
        <v>-0.2709106320228738</v>
      </c>
    </row>
    <row r="344" spans="1:7">
      <c r="A344" s="4" t="s">
        <v>22</v>
      </c>
      <c r="B344">
        <f>TDIST(ABS(B343),3,1)</f>
        <v>0.40201514729059074</v>
      </c>
    </row>
    <row r="345" spans="1:7">
      <c r="A345" s="1"/>
    </row>
    <row r="346" spans="1:7">
      <c r="A346" s="5" t="s">
        <v>1766</v>
      </c>
    </row>
    <row r="347" spans="1:7">
      <c r="A347" s="4" t="s">
        <v>7</v>
      </c>
      <c r="B347" s="3" t="s">
        <v>8</v>
      </c>
      <c r="C347" s="3" t="s">
        <v>9</v>
      </c>
      <c r="D347" s="3" t="s">
        <v>10</v>
      </c>
      <c r="E347" s="3" t="s">
        <v>11</v>
      </c>
      <c r="F347" s="3" t="s">
        <v>12</v>
      </c>
      <c r="G347" s="3" t="s">
        <v>13</v>
      </c>
    </row>
    <row r="348" spans="1:7">
      <c r="A348" s="1" t="s">
        <v>1353</v>
      </c>
      <c r="B348">
        <v>325.13525746801002</v>
      </c>
      <c r="C348">
        <v>336.39143730886849</v>
      </c>
      <c r="D348">
        <v>328.64434208888338</v>
      </c>
    </row>
    <row r="349" spans="1:7">
      <c r="A349" s="1" t="s">
        <v>1354</v>
      </c>
      <c r="B349">
        <v>295.18461462008651</v>
      </c>
      <c r="C349">
        <v>338.11098860712974</v>
      </c>
      <c r="D349">
        <v>339.31644947135482</v>
      </c>
    </row>
    <row r="350" spans="1:7">
      <c r="A350" s="1" t="s">
        <v>1355</v>
      </c>
      <c r="B350">
        <v>346.77723332076891</v>
      </c>
      <c r="C350">
        <v>277.31416099627683</v>
      </c>
      <c r="D350">
        <v>276.46230641238958</v>
      </c>
    </row>
    <row r="351" spans="1:7">
      <c r="A351" t="s">
        <v>1497</v>
      </c>
      <c r="B351">
        <v>280.39669838632562</v>
      </c>
      <c r="C351">
        <v>274.04212128901298</v>
      </c>
      <c r="D351">
        <v>275.68602425015956</v>
      </c>
    </row>
    <row r="353" spans="1:7">
      <c r="A353" s="3" t="s">
        <v>18</v>
      </c>
      <c r="B353">
        <v>4</v>
      </c>
    </row>
    <row r="354" spans="1:7">
      <c r="A354" s="3" t="s">
        <v>191</v>
      </c>
      <c r="B354">
        <v>2</v>
      </c>
    </row>
    <row r="355" spans="1:7">
      <c r="A355" s="4" t="s">
        <v>192</v>
      </c>
      <c r="B355">
        <v>2</v>
      </c>
    </row>
    <row r="356" spans="1:7">
      <c r="A356" s="6" t="s">
        <v>193</v>
      </c>
      <c r="B356">
        <v>50</v>
      </c>
    </row>
    <row r="358" spans="1:7">
      <c r="A358" s="3" t="s">
        <v>19</v>
      </c>
      <c r="B358">
        <v>1.437396494625176</v>
      </c>
    </row>
    <row r="359" spans="1:7">
      <c r="A359" t="s">
        <v>20</v>
      </c>
      <c r="B359">
        <v>18.878086229802559</v>
      </c>
    </row>
    <row r="360" spans="1:7">
      <c r="A360" t="s">
        <v>23</v>
      </c>
      <c r="B360">
        <v>4.3448919698655981</v>
      </c>
    </row>
    <row r="361" spans="1:7">
      <c r="A361" s="1" t="s">
        <v>24</v>
      </c>
      <c r="B361">
        <v>2.1724459849327991</v>
      </c>
    </row>
    <row r="362" spans="1:7">
      <c r="A362" s="1" t="s">
        <v>21</v>
      </c>
      <c r="B362">
        <v>0.66164889925658588</v>
      </c>
    </row>
    <row r="363" spans="1:7">
      <c r="A363" s="3" t="s">
        <v>22</v>
      </c>
      <c r="B363">
        <f>TDIST(ABS(B362),3,1)</f>
        <v>0.2777389258025954</v>
      </c>
    </row>
    <row r="365" spans="1:7">
      <c r="A365" s="2" t="s">
        <v>1767</v>
      </c>
    </row>
    <row r="366" spans="1:7">
      <c r="A366" s="3" t="s">
        <v>7</v>
      </c>
      <c r="B366" s="3" t="s">
        <v>8</v>
      </c>
      <c r="C366" s="3" t="s">
        <v>9</v>
      </c>
      <c r="D366" s="3" t="s">
        <v>10</v>
      </c>
      <c r="E366" s="3" t="s">
        <v>11</v>
      </c>
      <c r="F366" s="3" t="s">
        <v>12</v>
      </c>
      <c r="G366" s="3" t="s">
        <v>13</v>
      </c>
    </row>
    <row r="367" spans="1:7">
      <c r="A367" s="1" t="s">
        <v>1493</v>
      </c>
      <c r="B367">
        <v>283.78298310543136</v>
      </c>
      <c r="C367">
        <v>343.03534303534303</v>
      </c>
      <c r="D367">
        <v>346.55951783023602</v>
      </c>
    </row>
    <row r="368" spans="1:7">
      <c r="A368" t="s">
        <v>1358</v>
      </c>
      <c r="B368">
        <v>342.38236148967968</v>
      </c>
      <c r="C368">
        <v>338.60875966139122</v>
      </c>
      <c r="D368">
        <v>329.2181069958848</v>
      </c>
    </row>
    <row r="369" spans="1:4">
      <c r="A369" t="s">
        <v>1359</v>
      </c>
      <c r="B369">
        <v>319.46955997588913</v>
      </c>
      <c r="C369">
        <v>331.27053827191173</v>
      </c>
      <c r="D369">
        <v>316.50339110776184</v>
      </c>
    </row>
    <row r="370" spans="1:4">
      <c r="A370" t="s">
        <v>1495</v>
      </c>
      <c r="B370">
        <v>289.57820119652104</v>
      </c>
      <c r="C370">
        <v>289.0466531440162</v>
      </c>
      <c r="D370">
        <v>308.33231371589375</v>
      </c>
    </row>
    <row r="372" spans="1:4">
      <c r="A372" s="4" t="s">
        <v>18</v>
      </c>
      <c r="B372">
        <v>4</v>
      </c>
    </row>
    <row r="373" spans="1:4">
      <c r="A373" s="3" t="s">
        <v>191</v>
      </c>
      <c r="B373">
        <v>2</v>
      </c>
    </row>
    <row r="374" spans="1:4">
      <c r="A374" s="3" t="s">
        <v>192</v>
      </c>
      <c r="B374">
        <v>2</v>
      </c>
    </row>
    <row r="375" spans="1:4">
      <c r="A375" s="6" t="s">
        <v>193</v>
      </c>
      <c r="B375">
        <v>50</v>
      </c>
    </row>
    <row r="377" spans="1:4">
      <c r="A377" s="4" t="s">
        <v>19</v>
      </c>
      <c r="B377">
        <v>0.33699111572144602</v>
      </c>
    </row>
    <row r="378" spans="1:4">
      <c r="A378" t="s">
        <v>20</v>
      </c>
      <c r="B378">
        <v>230.05175082739109</v>
      </c>
    </row>
    <row r="379" spans="1:4">
      <c r="A379" t="s">
        <v>23</v>
      </c>
      <c r="B379">
        <v>15.167456966393249</v>
      </c>
    </row>
    <row r="380" spans="1:4">
      <c r="A380" t="s">
        <v>24</v>
      </c>
      <c r="B380">
        <v>7.5837284831966247</v>
      </c>
    </row>
    <row r="381" spans="1:4">
      <c r="A381" t="s">
        <v>21</v>
      </c>
      <c r="B381">
        <v>4.4436073425904166E-2</v>
      </c>
    </row>
    <row r="382" spans="1:4">
      <c r="A382" s="4" t="s">
        <v>22</v>
      </c>
      <c r="B382">
        <f>TDIST(ABS(B381),3,1)</f>
        <v>0.48367456818684379</v>
      </c>
    </row>
    <row r="384" spans="1:4">
      <c r="A384" s="2" t="s">
        <v>1768</v>
      </c>
    </row>
    <row r="385" spans="1:7">
      <c r="A385" s="3" t="s">
        <v>7</v>
      </c>
      <c r="B385" s="3" t="s">
        <v>8</v>
      </c>
      <c r="C385" s="3" t="s">
        <v>9</v>
      </c>
      <c r="D385" s="3" t="s">
        <v>10</v>
      </c>
      <c r="E385" s="3" t="s">
        <v>11</v>
      </c>
      <c r="F385" s="3" t="s">
        <v>12</v>
      </c>
      <c r="G385" s="3" t="s">
        <v>13</v>
      </c>
    </row>
    <row r="386" spans="1:7">
      <c r="A386" t="s">
        <v>1361</v>
      </c>
      <c r="B386">
        <v>289.86229050974924</v>
      </c>
      <c r="C386">
        <v>312.57752418754654</v>
      </c>
      <c r="D386">
        <v>325.58139534883719</v>
      </c>
    </row>
    <row r="387" spans="1:7">
      <c r="A387" s="1" t="s">
        <v>1362</v>
      </c>
      <c r="B387">
        <v>312.91527718576839</v>
      </c>
      <c r="C387">
        <v>287.91514080060614</v>
      </c>
      <c r="D387">
        <v>304.14396147509819</v>
      </c>
    </row>
    <row r="388" spans="1:7">
      <c r="A388" s="1" t="s">
        <v>1469</v>
      </c>
      <c r="B388">
        <v>278.76958430686756</v>
      </c>
      <c r="C388">
        <v>279.82899339292658</v>
      </c>
      <c r="D388">
        <v>272.21172022684311</v>
      </c>
    </row>
    <row r="389" spans="1:7">
      <c r="A389" t="s">
        <v>1363</v>
      </c>
      <c r="B389">
        <v>296.86474478719646</v>
      </c>
      <c r="C389">
        <v>267.19056974459727</v>
      </c>
      <c r="D389">
        <v>266.89731867045595</v>
      </c>
    </row>
    <row r="391" spans="1:7">
      <c r="A391" s="3" t="s">
        <v>18</v>
      </c>
      <c r="B391">
        <v>4</v>
      </c>
    </row>
    <row r="392" spans="1:7">
      <c r="A392" s="3" t="s">
        <v>191</v>
      </c>
      <c r="B392">
        <v>2</v>
      </c>
    </row>
    <row r="393" spans="1:7">
      <c r="A393" s="4" t="s">
        <v>192</v>
      </c>
      <c r="B393">
        <v>2</v>
      </c>
    </row>
    <row r="394" spans="1:7">
      <c r="A394" s="6" t="s">
        <v>193</v>
      </c>
      <c r="B394">
        <v>50</v>
      </c>
    </row>
    <row r="396" spans="1:7">
      <c r="A396" s="3" t="s">
        <v>19</v>
      </c>
      <c r="B396">
        <v>-5.3305418988894786</v>
      </c>
    </row>
    <row r="397" spans="1:7">
      <c r="A397" t="s">
        <v>20</v>
      </c>
      <c r="B397">
        <v>125.64180820007419</v>
      </c>
    </row>
    <row r="398" spans="1:7">
      <c r="A398" s="1" t="s">
        <v>23</v>
      </c>
      <c r="B398">
        <v>11.209005674013827</v>
      </c>
    </row>
    <row r="399" spans="1:7">
      <c r="A399" t="s">
        <v>24</v>
      </c>
      <c r="B399">
        <v>5.6045028370069137</v>
      </c>
    </row>
    <row r="400" spans="1:7">
      <c r="A400" t="s">
        <v>21</v>
      </c>
      <c r="B400">
        <v>-0.95111770908412208</v>
      </c>
    </row>
    <row r="401" spans="1:7">
      <c r="A401" s="3" t="s">
        <v>22</v>
      </c>
      <c r="B401">
        <f>TDIST(ABS(B400),3,1)</f>
        <v>0.20585638772254239</v>
      </c>
    </row>
    <row r="403" spans="1:7">
      <c r="A403" s="5" t="s">
        <v>1769</v>
      </c>
    </row>
    <row r="404" spans="1:7">
      <c r="A404" s="3" t="s">
        <v>7</v>
      </c>
      <c r="B404" s="3" t="s">
        <v>8</v>
      </c>
      <c r="C404" s="3" t="s">
        <v>9</v>
      </c>
      <c r="D404" s="3" t="s">
        <v>10</v>
      </c>
      <c r="E404" s="3" t="s">
        <v>11</v>
      </c>
      <c r="F404" s="3" t="s">
        <v>12</v>
      </c>
      <c r="G404" s="3" t="s">
        <v>13</v>
      </c>
    </row>
    <row r="405" spans="1:7">
      <c r="A405" t="s">
        <v>1500</v>
      </c>
      <c r="B405">
        <v>289.53063204238487</v>
      </c>
      <c r="C405">
        <v>386.80882717579971</v>
      </c>
      <c r="D405">
        <v>401.58651462568167</v>
      </c>
    </row>
    <row r="406" spans="1:7">
      <c r="A406" t="s">
        <v>1367</v>
      </c>
      <c r="B406">
        <v>305.880759623198</v>
      </c>
      <c r="C406">
        <v>329.2181069958848</v>
      </c>
      <c r="D406">
        <v>338.50493653032436</v>
      </c>
    </row>
    <row r="407" spans="1:7">
      <c r="A407" t="s">
        <v>1502</v>
      </c>
      <c r="B407">
        <v>345.48971823561158</v>
      </c>
      <c r="C407">
        <v>298.84198729921553</v>
      </c>
      <c r="D407">
        <v>313.627878033603</v>
      </c>
    </row>
    <row r="408" spans="1:7">
      <c r="A408" s="1" t="s">
        <v>1503</v>
      </c>
      <c r="B408" t="e">
        <f>NA()</f>
        <v>#N/A</v>
      </c>
      <c r="C408">
        <v>335.62166285278414</v>
      </c>
      <c r="D408">
        <v>304.05405405405406</v>
      </c>
      <c r="E408" t="s">
        <v>164</v>
      </c>
    </row>
    <row r="410" spans="1:7">
      <c r="A410" s="3" t="s">
        <v>18</v>
      </c>
      <c r="B410">
        <v>4</v>
      </c>
    </row>
    <row r="411" spans="1:7">
      <c r="A411" s="3" t="s">
        <v>191</v>
      </c>
      <c r="B411">
        <v>1</v>
      </c>
    </row>
    <row r="412" spans="1:7">
      <c r="A412" s="3" t="s">
        <v>192</v>
      </c>
      <c r="B412">
        <v>3</v>
      </c>
    </row>
    <row r="413" spans="1:7">
      <c r="A413" s="6" t="s">
        <v>193</v>
      </c>
      <c r="B413">
        <v>25</v>
      </c>
    </row>
    <row r="415" spans="1:7">
      <c r="A415" s="3" t="s">
        <v>19</v>
      </c>
      <c r="B415">
        <v>-1.8206997299947294</v>
      </c>
    </row>
    <row r="416" spans="1:7">
      <c r="A416" t="s">
        <v>20</v>
      </c>
      <c r="B416">
        <v>502.16731640661072</v>
      </c>
    </row>
    <row r="417" spans="1:7">
      <c r="A417" t="s">
        <v>23</v>
      </c>
      <c r="B417">
        <v>22.409090039682798</v>
      </c>
    </row>
    <row r="418" spans="1:7">
      <c r="A418" s="1" t="s">
        <v>24</v>
      </c>
      <c r="B418">
        <v>11.204545019841399</v>
      </c>
    </row>
    <row r="419" spans="1:7">
      <c r="A419" t="s">
        <v>21</v>
      </c>
      <c r="B419">
        <v>-0.1624965339307014</v>
      </c>
    </row>
    <row r="420" spans="1:7">
      <c r="A420" s="3" t="s">
        <v>22</v>
      </c>
      <c r="B420">
        <f>TDIST(ABS(B419),3,1)</f>
        <v>0.44062168452124983</v>
      </c>
    </row>
    <row r="422" spans="1:7">
      <c r="A422" s="2" t="s">
        <v>165</v>
      </c>
    </row>
    <row r="423" spans="1:7">
      <c r="A423" s="4" t="s">
        <v>7</v>
      </c>
      <c r="B423" s="3" t="s">
        <v>8</v>
      </c>
      <c r="C423" s="3" t="s">
        <v>9</v>
      </c>
      <c r="D423" s="3" t="s">
        <v>10</v>
      </c>
      <c r="E423" s="3" t="s">
        <v>11</v>
      </c>
      <c r="F423" s="3" t="s">
        <v>12</v>
      </c>
      <c r="G423" s="3" t="s">
        <v>13</v>
      </c>
    </row>
    <row r="424" spans="1:7">
      <c r="A424" s="1" t="s">
        <v>1732</v>
      </c>
      <c r="B424">
        <v>393.53126721073454</v>
      </c>
      <c r="C424">
        <v>331.78333542792512</v>
      </c>
      <c r="D424">
        <v>325.11933944007222</v>
      </c>
    </row>
    <row r="425" spans="1:7">
      <c r="A425" t="s">
        <v>1733</v>
      </c>
      <c r="B425">
        <v>334.4968735089526</v>
      </c>
      <c r="C425">
        <v>311.72686788718454</v>
      </c>
      <c r="D425">
        <v>302.6100113478754</v>
      </c>
    </row>
    <row r="426" spans="1:7">
      <c r="A426" t="s">
        <v>1734</v>
      </c>
      <c r="B426">
        <v>324.74691791119574</v>
      </c>
      <c r="C426">
        <v>323.15978456014363</v>
      </c>
      <c r="D426">
        <v>306.30849641424578</v>
      </c>
    </row>
    <row r="427" spans="1:7">
      <c r="A427" t="s">
        <v>1735</v>
      </c>
      <c r="B427">
        <v>334.31210362999451</v>
      </c>
      <c r="C427">
        <v>270.6766917293233</v>
      </c>
      <c r="D427">
        <v>280.40831386053372</v>
      </c>
    </row>
    <row r="428" spans="1:7">
      <c r="A428" t="s">
        <v>1740</v>
      </c>
      <c r="B428">
        <v>275.44910179640715</v>
      </c>
      <c r="C428">
        <v>253.07033866765912</v>
      </c>
      <c r="D428">
        <v>252.59834232337849</v>
      </c>
    </row>
    <row r="429" spans="1:7">
      <c r="A429" s="1" t="s">
        <v>1741</v>
      </c>
      <c r="B429">
        <v>254.45927404265933</v>
      </c>
      <c r="C429">
        <v>250.95337679911427</v>
      </c>
      <c r="D429">
        <v>258.26243489664904</v>
      </c>
    </row>
    <row r="430" spans="1:7">
      <c r="A430" t="s">
        <v>1742</v>
      </c>
      <c r="B430">
        <v>252.79087907289829</v>
      </c>
      <c r="C430">
        <v>254.77707006369425</v>
      </c>
      <c r="D430">
        <v>256.79758308157102</v>
      </c>
    </row>
    <row r="431" spans="1:7">
      <c r="A431" t="s">
        <v>1743</v>
      </c>
      <c r="B431">
        <v>295.13328199140432</v>
      </c>
      <c r="C431">
        <v>404.84818193177563</v>
      </c>
      <c r="D431">
        <v>380.62705868000489</v>
      </c>
    </row>
    <row r="433" spans="1:7">
      <c r="A433" s="3" t="s">
        <v>18</v>
      </c>
      <c r="B433">
        <v>8</v>
      </c>
    </row>
    <row r="434" spans="1:7">
      <c r="A434" s="4" t="s">
        <v>191</v>
      </c>
      <c r="B434">
        <v>5</v>
      </c>
    </row>
    <row r="435" spans="1:7">
      <c r="A435" s="4" t="s">
        <v>192</v>
      </c>
      <c r="B435">
        <v>3</v>
      </c>
    </row>
    <row r="436" spans="1:7">
      <c r="A436" s="6" t="s">
        <v>193</v>
      </c>
      <c r="B436">
        <v>62.5</v>
      </c>
    </row>
    <row r="438" spans="1:7">
      <c r="A438" s="3" t="s">
        <v>19</v>
      </c>
      <c r="B438">
        <v>4.7830083778111607</v>
      </c>
    </row>
    <row r="439" spans="1:7">
      <c r="A439" t="s">
        <v>20</v>
      </c>
      <c r="B439">
        <v>138.22419132607754</v>
      </c>
    </row>
    <row r="440" spans="1:7">
      <c r="A440" s="1" t="s">
        <v>23</v>
      </c>
      <c r="B440">
        <v>11.756878468627527</v>
      </c>
    </row>
    <row r="441" spans="1:7">
      <c r="A441" s="1" t="s">
        <v>24</v>
      </c>
      <c r="B441">
        <v>4.1566842453763186</v>
      </c>
    </row>
    <row r="442" spans="1:7">
      <c r="A442" t="s">
        <v>21</v>
      </c>
      <c r="B442">
        <v>1.1506787851715061</v>
      </c>
    </row>
    <row r="443" spans="1:7">
      <c r="A443" s="3" t="s">
        <v>22</v>
      </c>
      <c r="B443">
        <f>TDIST(ABS(B442),7,1)</f>
        <v>0.14382514491760384</v>
      </c>
    </row>
    <row r="445" spans="1:7">
      <c r="A445" s="2" t="s">
        <v>166</v>
      </c>
    </row>
    <row r="446" spans="1:7">
      <c r="A446" s="4" t="s">
        <v>7</v>
      </c>
      <c r="B446" s="3" t="s">
        <v>8</v>
      </c>
      <c r="C446" s="3" t="s">
        <v>9</v>
      </c>
      <c r="D446" s="3" t="s">
        <v>10</v>
      </c>
      <c r="E446" s="3" t="s">
        <v>11</v>
      </c>
      <c r="F446" s="3" t="s">
        <v>12</v>
      </c>
      <c r="G446" s="3" t="s">
        <v>13</v>
      </c>
    </row>
    <row r="447" spans="1:7">
      <c r="A447" t="s">
        <v>1736</v>
      </c>
      <c r="B447">
        <v>304.28560668825787</v>
      </c>
      <c r="C447">
        <v>262.85272516428296</v>
      </c>
      <c r="D447">
        <v>259.21036841473659</v>
      </c>
    </row>
    <row r="448" spans="1:7">
      <c r="A448" t="s">
        <v>1737</v>
      </c>
      <c r="B448">
        <v>305.33589442961556</v>
      </c>
      <c r="C448">
        <v>326.5296100515979</v>
      </c>
      <c r="D448">
        <v>287.91514080060614</v>
      </c>
    </row>
    <row r="449" spans="1:4">
      <c r="A449" t="s">
        <v>1738</v>
      </c>
      <c r="B449">
        <v>276.82004216792757</v>
      </c>
      <c r="C449">
        <v>257.86879029199849</v>
      </c>
      <c r="D449">
        <v>258.26053930877328</v>
      </c>
    </row>
    <row r="450" spans="1:4">
      <c r="A450" t="s">
        <v>1739</v>
      </c>
      <c r="B450">
        <v>261.96928635953026</v>
      </c>
      <c r="C450">
        <v>264.34952882144171</v>
      </c>
      <c r="D450">
        <v>260.80286371771928</v>
      </c>
    </row>
    <row r="451" spans="1:4">
      <c r="A451" s="1" t="s">
        <v>1744</v>
      </c>
      <c r="B451">
        <v>318.437047922945</v>
      </c>
      <c r="C451">
        <v>280.13269443420569</v>
      </c>
      <c r="D451">
        <v>288.616775157154</v>
      </c>
    </row>
    <row r="452" spans="1:4">
      <c r="A452" s="1" t="s">
        <v>1745</v>
      </c>
      <c r="B452">
        <v>272.76133383289618</v>
      </c>
      <c r="C452">
        <v>385.37798372166901</v>
      </c>
      <c r="D452">
        <v>323.57473035439136</v>
      </c>
    </row>
    <row r="453" spans="1:4">
      <c r="A453" t="s">
        <v>1746</v>
      </c>
      <c r="B453">
        <v>319.41341428451335</v>
      </c>
      <c r="C453">
        <v>302.34315948601665</v>
      </c>
      <c r="D453">
        <v>307.73176048211309</v>
      </c>
    </row>
    <row r="454" spans="1:4">
      <c r="A454" t="s">
        <v>1747</v>
      </c>
      <c r="B454">
        <v>318.2693794712626</v>
      </c>
      <c r="C454">
        <v>291.15055548461243</v>
      </c>
      <c r="D454">
        <v>285.60691469372415</v>
      </c>
    </row>
    <row r="456" spans="1:4">
      <c r="A456" s="3" t="s">
        <v>18</v>
      </c>
      <c r="B456">
        <v>8</v>
      </c>
    </row>
    <row r="457" spans="1:4">
      <c r="A457" s="4" t="s">
        <v>191</v>
      </c>
      <c r="B457">
        <v>5</v>
      </c>
    </row>
    <row r="458" spans="1:4">
      <c r="A458" s="4" t="s">
        <v>192</v>
      </c>
      <c r="B458">
        <v>3</v>
      </c>
    </row>
    <row r="459" spans="1:4">
      <c r="A459" s="6" t="s">
        <v>193</v>
      </c>
      <c r="B459">
        <v>62.5</v>
      </c>
    </row>
    <row r="461" spans="1:4">
      <c r="A461" s="3" t="s">
        <v>19</v>
      </c>
      <c r="B461">
        <v>12.360744315825869</v>
      </c>
    </row>
    <row r="462" spans="1:4">
      <c r="A462" t="s">
        <v>20</v>
      </c>
      <c r="B462">
        <v>606.5947178505769</v>
      </c>
    </row>
    <row r="463" spans="1:4">
      <c r="A463" s="1" t="s">
        <v>23</v>
      </c>
      <c r="B463">
        <v>24.629143668641362</v>
      </c>
    </row>
    <row r="464" spans="1:4">
      <c r="A464" s="1" t="s">
        <v>24</v>
      </c>
      <c r="B464">
        <v>8.7077172514570158</v>
      </c>
    </row>
    <row r="465" spans="1:7">
      <c r="A465" t="s">
        <v>21</v>
      </c>
      <c r="B465">
        <v>1.4195160406428691</v>
      </c>
    </row>
    <row r="466" spans="1:7">
      <c r="A466" s="3" t="s">
        <v>22</v>
      </c>
      <c r="B466">
        <f>TDIST(ABS(B465),7,1)</f>
        <v>9.9355468911686284E-2</v>
      </c>
    </row>
    <row r="468" spans="1:7">
      <c r="A468" s="2" t="s">
        <v>167</v>
      </c>
    </row>
    <row r="469" spans="1:7">
      <c r="A469" s="4" t="s">
        <v>7</v>
      </c>
      <c r="B469" s="3" t="s">
        <v>8</v>
      </c>
      <c r="C469" s="3" t="s">
        <v>9</v>
      </c>
      <c r="D469" s="3" t="s">
        <v>10</v>
      </c>
      <c r="E469" s="3" t="s">
        <v>11</v>
      </c>
      <c r="F469" s="3" t="s">
        <v>12</v>
      </c>
      <c r="G469" s="3" t="s">
        <v>13</v>
      </c>
    </row>
    <row r="470" spans="1:7">
      <c r="A470" s="1" t="s">
        <v>1748</v>
      </c>
      <c r="B470">
        <v>274.84312415777072</v>
      </c>
      <c r="C470">
        <v>243.59299670134484</v>
      </c>
      <c r="D470">
        <v>252.94482331060138</v>
      </c>
    </row>
    <row r="471" spans="1:7">
      <c r="A471" t="s">
        <v>1749</v>
      </c>
      <c r="B471">
        <v>260.80971520062303</v>
      </c>
      <c r="C471">
        <v>256.56393149310048</v>
      </c>
      <c r="D471">
        <v>249.84690753214943</v>
      </c>
    </row>
    <row r="472" spans="1:7">
      <c r="A472" t="s">
        <v>1750</v>
      </c>
      <c r="B472">
        <v>251.99604458933274</v>
      </c>
      <c r="C472">
        <v>248.41695080370189</v>
      </c>
      <c r="D472">
        <v>248.0243161094225</v>
      </c>
    </row>
    <row r="473" spans="1:7">
      <c r="A473" t="s">
        <v>1751</v>
      </c>
      <c r="B473">
        <v>265.3047492004369</v>
      </c>
      <c r="C473">
        <v>252.63157894736841</v>
      </c>
      <c r="D473">
        <v>256.53923541247485</v>
      </c>
    </row>
    <row r="475" spans="1:7">
      <c r="A475" s="4" t="s">
        <v>18</v>
      </c>
      <c r="B475">
        <v>4</v>
      </c>
    </row>
    <row r="476" spans="1:7">
      <c r="A476" s="4" t="s">
        <v>191</v>
      </c>
      <c r="B476">
        <v>2</v>
      </c>
    </row>
    <row r="477" spans="1:7">
      <c r="A477" s="4" t="s">
        <v>192</v>
      </c>
      <c r="B477">
        <v>2</v>
      </c>
    </row>
    <row r="478" spans="1:7">
      <c r="A478" s="6" t="s">
        <v>193</v>
      </c>
      <c r="B478">
        <v>50</v>
      </c>
    </row>
    <row r="480" spans="1:7">
      <c r="A480" s="3" t="s">
        <v>19</v>
      </c>
      <c r="B480">
        <v>-1.5374561047831321</v>
      </c>
    </row>
    <row r="481" spans="1:7">
      <c r="A481" t="s">
        <v>20</v>
      </c>
      <c r="B481">
        <v>46.181309259163164</v>
      </c>
    </row>
    <row r="482" spans="1:7">
      <c r="A482" t="s">
        <v>23</v>
      </c>
      <c r="B482">
        <v>6.7956831341052952</v>
      </c>
    </row>
    <row r="483" spans="1:7">
      <c r="A483" s="1" t="s">
        <v>24</v>
      </c>
      <c r="B483">
        <v>3.3978415670526476</v>
      </c>
    </row>
    <row r="484" spans="1:7">
      <c r="A484" s="1" t="s">
        <v>21</v>
      </c>
      <c r="B484">
        <v>-0.45248022147093536</v>
      </c>
    </row>
    <row r="485" spans="1:7">
      <c r="A485" s="4" t="s">
        <v>22</v>
      </c>
      <c r="B485">
        <f>TDIST(ABS(B484),3,1)</f>
        <v>0.34081997850324541</v>
      </c>
    </row>
    <row r="487" spans="1:7">
      <c r="A487" s="2" t="s">
        <v>168</v>
      </c>
    </row>
    <row r="488" spans="1:7">
      <c r="A488" s="3" t="s">
        <v>7</v>
      </c>
      <c r="B488" s="3" t="s">
        <v>8</v>
      </c>
      <c r="C488" s="3" t="s">
        <v>9</v>
      </c>
      <c r="D488" s="3" t="s">
        <v>10</v>
      </c>
      <c r="E488" s="3" t="s">
        <v>11</v>
      </c>
      <c r="F488" s="3" t="s">
        <v>12</v>
      </c>
      <c r="G488" s="3" t="s">
        <v>13</v>
      </c>
    </row>
    <row r="489" spans="1:7">
      <c r="A489" t="s">
        <v>1752</v>
      </c>
      <c r="B489">
        <v>311.68831168831167</v>
      </c>
      <c r="C489">
        <v>396.94619466594463</v>
      </c>
      <c r="D489">
        <v>401.67290301296424</v>
      </c>
    </row>
    <row r="490" spans="1:7">
      <c r="A490" s="1" t="s">
        <v>1753</v>
      </c>
      <c r="B490">
        <v>303.59200440859678</v>
      </c>
      <c r="C490">
        <v>292.29082937522833</v>
      </c>
      <c r="D490">
        <v>278.15054288154204</v>
      </c>
    </row>
    <row r="491" spans="1:7">
      <c r="A491" s="1" t="s">
        <v>1754</v>
      </c>
      <c r="B491">
        <v>311.46272679627646</v>
      </c>
      <c r="C491">
        <v>247.10424710424709</v>
      </c>
      <c r="D491">
        <v>246.55547498187093</v>
      </c>
    </row>
    <row r="492" spans="1:7">
      <c r="A492" s="1" t="s">
        <v>1755</v>
      </c>
      <c r="B492">
        <v>251.03337029942534</v>
      </c>
      <c r="C492">
        <v>241.38798089011817</v>
      </c>
      <c r="D492">
        <v>240.69198946972543</v>
      </c>
    </row>
    <row r="493" spans="1:7">
      <c r="A493" s="1"/>
    </row>
    <row r="494" spans="1:7">
      <c r="A494" s="3" t="s">
        <v>18</v>
      </c>
      <c r="B494">
        <v>4</v>
      </c>
    </row>
    <row r="495" spans="1:7">
      <c r="A495" s="3" t="s">
        <v>191</v>
      </c>
      <c r="B495">
        <v>3</v>
      </c>
    </row>
    <row r="496" spans="1:7">
      <c r="A496" s="3" t="s">
        <v>192</v>
      </c>
      <c r="B496">
        <v>1</v>
      </c>
    </row>
    <row r="497" spans="1:2">
      <c r="A497" s="6" t="s">
        <v>193</v>
      </c>
      <c r="B497">
        <v>75</v>
      </c>
    </row>
    <row r="498" spans="1:2">
      <c r="A498" s="1"/>
    </row>
    <row r="499" spans="1:2">
      <c r="A499" s="4" t="s">
        <v>19</v>
      </c>
      <c r="B499">
        <v>2.6645854223588969</v>
      </c>
    </row>
    <row r="500" spans="1:2">
      <c r="A500" s="1" t="s">
        <v>20</v>
      </c>
      <c r="B500">
        <v>64.891655642893056</v>
      </c>
    </row>
    <row r="501" spans="1:2">
      <c r="A501" s="1" t="s">
        <v>23</v>
      </c>
      <c r="B501">
        <v>8.0555357142087729</v>
      </c>
    </row>
    <row r="502" spans="1:2">
      <c r="A502" t="s">
        <v>24</v>
      </c>
      <c r="B502">
        <v>4.0277678571043865</v>
      </c>
    </row>
    <row r="503" spans="1:2">
      <c r="A503" t="s">
        <v>21</v>
      </c>
      <c r="B503">
        <v>0.66155387224190754</v>
      </c>
    </row>
    <row r="504" spans="1:2">
      <c r="A504" s="3" t="s">
        <v>22</v>
      </c>
      <c r="B504">
        <f>TDIST(ABS(B503),3,1)</f>
        <v>0.27776552502865892</v>
      </c>
    </row>
    <row r="506" spans="1:2">
      <c r="A506" s="1"/>
    </row>
    <row r="507" spans="1:2">
      <c r="A507" s="1"/>
    </row>
    <row r="508" spans="1:2">
      <c r="A508" s="1"/>
    </row>
    <row r="509" spans="1:2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C1:D1048576 B1:B11 B13:B18 B20:B30 B32:B37 B39:B49 B51:B56 B58:B68 B70:B75 B77:B91 B93:B98 B100:B114 B116:B121 B123:B137 B139:B144 B146:B168 B170:B175 B177:B199 B201:B206 B208:B218 B220:B225 B227:B237 B239:B244 B246:B260 B262:B267 B269:B279 B281:B286 B288:B298 B300:B305 B307:B317 B319:B324 B326:B336 B338:B343 B345:B355 B357:B362 B364:B374 B376:B381 B383:B393 B395:B400 B402:B412 B414:B419 B421:B435 B437:B442 B444:B458 B460:B465 B467:B477 B479:B484 B486:B496 B498:B503 B505:B1048576">
    <cfRule type="containsErrors" dxfId="96" priority="1">
      <formula>ISERROR(B1)</formula>
    </cfRule>
  </conditionalFormatting>
  <conditionalFormatting sqref="B12">
    <cfRule type="cellIs" dxfId="95" priority="2" stopIfTrue="1" operator="notBetween">
      <formula>15</formula>
      <formula>85</formula>
    </cfRule>
    <cfRule type="cellIs" dxfId="94" priority="3" stopIfTrue="1" operator="notBetween">
      <formula>25</formula>
      <formula>75</formula>
    </cfRule>
  </conditionalFormatting>
  <conditionalFormatting sqref="B19">
    <cfRule type="cellIs" dxfId="93" priority="4" stopIfTrue="1" operator="lessThanOrEqual">
      <formula>0.05</formula>
    </cfRule>
    <cfRule type="cellIs" dxfId="92" priority="5" stopIfTrue="1" operator="lessThanOrEqual">
      <formula>0.1</formula>
    </cfRule>
  </conditionalFormatting>
  <conditionalFormatting sqref="B31">
    <cfRule type="cellIs" dxfId="91" priority="6" stopIfTrue="1" operator="notBetween">
      <formula>15</formula>
      <formula>85</formula>
    </cfRule>
    <cfRule type="cellIs" dxfId="90" priority="7" stopIfTrue="1" operator="notBetween">
      <formula>25</formula>
      <formula>75</formula>
    </cfRule>
  </conditionalFormatting>
  <conditionalFormatting sqref="B38">
    <cfRule type="cellIs" dxfId="89" priority="8" stopIfTrue="1" operator="lessThanOrEqual">
      <formula>0.05</formula>
    </cfRule>
    <cfRule type="cellIs" dxfId="88" priority="9" stopIfTrue="1" operator="lessThanOrEqual">
      <formula>0.1</formula>
    </cfRule>
  </conditionalFormatting>
  <conditionalFormatting sqref="B50">
    <cfRule type="cellIs" dxfId="87" priority="10" stopIfTrue="1" operator="notBetween">
      <formula>15</formula>
      <formula>85</formula>
    </cfRule>
    <cfRule type="cellIs" dxfId="86" priority="11" stopIfTrue="1" operator="notBetween">
      <formula>25</formula>
      <formula>75</formula>
    </cfRule>
  </conditionalFormatting>
  <conditionalFormatting sqref="B57">
    <cfRule type="cellIs" dxfId="85" priority="12" stopIfTrue="1" operator="lessThanOrEqual">
      <formula>0.05</formula>
    </cfRule>
    <cfRule type="cellIs" dxfId="84" priority="13" stopIfTrue="1" operator="lessThanOrEqual">
      <formula>0.1</formula>
    </cfRule>
  </conditionalFormatting>
  <conditionalFormatting sqref="B69">
    <cfRule type="cellIs" dxfId="83" priority="14" stopIfTrue="1" operator="notBetween">
      <formula>15</formula>
      <formula>85</formula>
    </cfRule>
    <cfRule type="cellIs" dxfId="82" priority="15" stopIfTrue="1" operator="notBetween">
      <formula>25</formula>
      <formula>75</formula>
    </cfRule>
  </conditionalFormatting>
  <conditionalFormatting sqref="B76">
    <cfRule type="cellIs" dxfId="81" priority="16" stopIfTrue="1" operator="lessThanOrEqual">
      <formula>0.05</formula>
    </cfRule>
    <cfRule type="cellIs" dxfId="80" priority="17" stopIfTrue="1" operator="lessThanOrEqual">
      <formula>0.1</formula>
    </cfRule>
  </conditionalFormatting>
  <conditionalFormatting sqref="B92">
    <cfRule type="cellIs" dxfId="79" priority="18" stopIfTrue="1" operator="notBetween">
      <formula>15</formula>
      <formula>85</formula>
    </cfRule>
    <cfRule type="cellIs" dxfId="78" priority="19" stopIfTrue="1" operator="notBetween">
      <formula>25</formula>
      <formula>75</formula>
    </cfRule>
  </conditionalFormatting>
  <conditionalFormatting sqref="B99">
    <cfRule type="cellIs" dxfId="77" priority="20" stopIfTrue="1" operator="lessThanOrEqual">
      <formula>0.05</formula>
    </cfRule>
    <cfRule type="cellIs" dxfId="76" priority="21" stopIfTrue="1" operator="lessThanOrEqual">
      <formula>0.1</formula>
    </cfRule>
  </conditionalFormatting>
  <conditionalFormatting sqref="B115">
    <cfRule type="cellIs" dxfId="75" priority="22" stopIfTrue="1" operator="notBetween">
      <formula>15</formula>
      <formula>85</formula>
    </cfRule>
    <cfRule type="cellIs" dxfId="74" priority="23" stopIfTrue="1" operator="notBetween">
      <formula>25</formula>
      <formula>75</formula>
    </cfRule>
  </conditionalFormatting>
  <conditionalFormatting sqref="B122">
    <cfRule type="cellIs" dxfId="73" priority="24" stopIfTrue="1" operator="lessThanOrEqual">
      <formula>0.05</formula>
    </cfRule>
    <cfRule type="cellIs" dxfId="72" priority="25" stopIfTrue="1" operator="lessThanOrEqual">
      <formula>0.1</formula>
    </cfRule>
  </conditionalFormatting>
  <conditionalFormatting sqref="B138">
    <cfRule type="cellIs" dxfId="71" priority="26" stopIfTrue="1" operator="notBetween">
      <formula>15</formula>
      <formula>85</formula>
    </cfRule>
    <cfRule type="cellIs" dxfId="70" priority="27" stopIfTrue="1" operator="notBetween">
      <formula>25</formula>
      <formula>75</formula>
    </cfRule>
  </conditionalFormatting>
  <conditionalFormatting sqref="B145">
    <cfRule type="cellIs" dxfId="69" priority="28" stopIfTrue="1" operator="lessThanOrEqual">
      <formula>0.05</formula>
    </cfRule>
    <cfRule type="cellIs" dxfId="68" priority="29" stopIfTrue="1" operator="lessThanOrEqual">
      <formula>0.1</formula>
    </cfRule>
  </conditionalFormatting>
  <conditionalFormatting sqref="B169">
    <cfRule type="cellIs" dxfId="67" priority="30" stopIfTrue="1" operator="notBetween">
      <formula>15</formula>
      <formula>85</formula>
    </cfRule>
    <cfRule type="cellIs" dxfId="66" priority="31" stopIfTrue="1" operator="notBetween">
      <formula>25</formula>
      <formula>75</formula>
    </cfRule>
  </conditionalFormatting>
  <conditionalFormatting sqref="B176">
    <cfRule type="cellIs" dxfId="65" priority="32" stopIfTrue="1" operator="lessThanOrEqual">
      <formula>0.05</formula>
    </cfRule>
    <cfRule type="cellIs" dxfId="64" priority="33" stopIfTrue="1" operator="lessThanOrEqual">
      <formula>0.1</formula>
    </cfRule>
  </conditionalFormatting>
  <conditionalFormatting sqref="B200">
    <cfRule type="cellIs" dxfId="63" priority="34" stopIfTrue="1" operator="notBetween">
      <formula>15</formula>
      <formula>85</formula>
    </cfRule>
    <cfRule type="cellIs" dxfId="62" priority="35" stopIfTrue="1" operator="notBetween">
      <formula>25</formula>
      <formula>75</formula>
    </cfRule>
  </conditionalFormatting>
  <conditionalFormatting sqref="B207">
    <cfRule type="cellIs" dxfId="61" priority="36" stopIfTrue="1" operator="lessThanOrEqual">
      <formula>0.05</formula>
    </cfRule>
    <cfRule type="cellIs" dxfId="60" priority="37" stopIfTrue="1" operator="lessThanOrEqual">
      <formula>0.1</formula>
    </cfRule>
  </conditionalFormatting>
  <conditionalFormatting sqref="B219">
    <cfRule type="cellIs" dxfId="59" priority="38" stopIfTrue="1" operator="notBetween">
      <formula>15</formula>
      <formula>85</formula>
    </cfRule>
    <cfRule type="cellIs" dxfId="58" priority="39" stopIfTrue="1" operator="notBetween">
      <formula>25</formula>
      <formula>75</formula>
    </cfRule>
  </conditionalFormatting>
  <conditionalFormatting sqref="B226">
    <cfRule type="cellIs" dxfId="57" priority="40" stopIfTrue="1" operator="lessThanOrEqual">
      <formula>0.05</formula>
    </cfRule>
    <cfRule type="cellIs" dxfId="56" priority="41" stopIfTrue="1" operator="lessThanOrEqual">
      <formula>0.1</formula>
    </cfRule>
  </conditionalFormatting>
  <conditionalFormatting sqref="B238">
    <cfRule type="cellIs" dxfId="55" priority="42" stopIfTrue="1" operator="notBetween">
      <formula>15</formula>
      <formula>85</formula>
    </cfRule>
    <cfRule type="cellIs" dxfId="54" priority="43" stopIfTrue="1" operator="notBetween">
      <formula>25</formula>
      <formula>75</formula>
    </cfRule>
  </conditionalFormatting>
  <conditionalFormatting sqref="B245">
    <cfRule type="cellIs" dxfId="53" priority="44" stopIfTrue="1" operator="lessThanOrEqual">
      <formula>0.05</formula>
    </cfRule>
    <cfRule type="cellIs" dxfId="52" priority="45" stopIfTrue="1" operator="lessThanOrEqual">
      <formula>0.1</formula>
    </cfRule>
  </conditionalFormatting>
  <conditionalFormatting sqref="B261">
    <cfRule type="cellIs" dxfId="51" priority="46" stopIfTrue="1" operator="notBetween">
      <formula>15</formula>
      <formula>85</formula>
    </cfRule>
    <cfRule type="cellIs" dxfId="50" priority="47" stopIfTrue="1" operator="notBetween">
      <formula>25</formula>
      <formula>75</formula>
    </cfRule>
  </conditionalFormatting>
  <conditionalFormatting sqref="B268">
    <cfRule type="cellIs" dxfId="49" priority="48" stopIfTrue="1" operator="lessThanOrEqual">
      <formula>0.05</formula>
    </cfRule>
    <cfRule type="cellIs" dxfId="48" priority="49" stopIfTrue="1" operator="lessThanOrEqual">
      <formula>0.1</formula>
    </cfRule>
  </conditionalFormatting>
  <conditionalFormatting sqref="B280">
    <cfRule type="cellIs" dxfId="47" priority="50" stopIfTrue="1" operator="notBetween">
      <formula>15</formula>
      <formula>85</formula>
    </cfRule>
    <cfRule type="cellIs" dxfId="46" priority="51" stopIfTrue="1" operator="notBetween">
      <formula>25</formula>
      <formula>75</formula>
    </cfRule>
  </conditionalFormatting>
  <conditionalFormatting sqref="B287">
    <cfRule type="cellIs" dxfId="45" priority="52" stopIfTrue="1" operator="lessThanOrEqual">
      <formula>0.05</formula>
    </cfRule>
    <cfRule type="cellIs" dxfId="44" priority="53" stopIfTrue="1" operator="lessThanOrEqual">
      <formula>0.1</formula>
    </cfRule>
  </conditionalFormatting>
  <conditionalFormatting sqref="B299">
    <cfRule type="cellIs" dxfId="43" priority="54" stopIfTrue="1" operator="notBetween">
      <formula>15</formula>
      <formula>85</formula>
    </cfRule>
    <cfRule type="cellIs" dxfId="42" priority="55" stopIfTrue="1" operator="notBetween">
      <formula>25</formula>
      <formula>75</formula>
    </cfRule>
  </conditionalFormatting>
  <conditionalFormatting sqref="B306">
    <cfRule type="cellIs" dxfId="41" priority="56" stopIfTrue="1" operator="lessThanOrEqual">
      <formula>0.05</formula>
    </cfRule>
    <cfRule type="cellIs" dxfId="40" priority="57" stopIfTrue="1" operator="lessThanOrEqual">
      <formula>0.1</formula>
    </cfRule>
  </conditionalFormatting>
  <conditionalFormatting sqref="B318">
    <cfRule type="cellIs" dxfId="39" priority="58" stopIfTrue="1" operator="notBetween">
      <formula>15</formula>
      <formula>85</formula>
    </cfRule>
    <cfRule type="cellIs" dxfId="38" priority="59" stopIfTrue="1" operator="notBetween">
      <formula>25</formula>
      <formula>75</formula>
    </cfRule>
  </conditionalFormatting>
  <conditionalFormatting sqref="B325">
    <cfRule type="cellIs" dxfId="37" priority="60" stopIfTrue="1" operator="lessThanOrEqual">
      <formula>0.05</formula>
    </cfRule>
    <cfRule type="cellIs" dxfId="36" priority="61" stopIfTrue="1" operator="lessThanOrEqual">
      <formula>0.1</formula>
    </cfRule>
  </conditionalFormatting>
  <conditionalFormatting sqref="B337">
    <cfRule type="cellIs" dxfId="35" priority="62" stopIfTrue="1" operator="notBetween">
      <formula>15</formula>
      <formula>85</formula>
    </cfRule>
    <cfRule type="cellIs" dxfId="34" priority="63" stopIfTrue="1" operator="notBetween">
      <formula>25</formula>
      <formula>75</formula>
    </cfRule>
  </conditionalFormatting>
  <conditionalFormatting sqref="B344">
    <cfRule type="cellIs" dxfId="33" priority="64" stopIfTrue="1" operator="lessThanOrEqual">
      <formula>0.05</formula>
    </cfRule>
    <cfRule type="cellIs" dxfId="32" priority="65" stopIfTrue="1" operator="lessThanOrEqual">
      <formula>0.1</formula>
    </cfRule>
  </conditionalFormatting>
  <conditionalFormatting sqref="B356">
    <cfRule type="cellIs" dxfId="31" priority="66" stopIfTrue="1" operator="notBetween">
      <formula>15</formula>
      <formula>85</formula>
    </cfRule>
    <cfRule type="cellIs" dxfId="30" priority="67" stopIfTrue="1" operator="notBetween">
      <formula>25</formula>
      <formula>75</formula>
    </cfRule>
  </conditionalFormatting>
  <conditionalFormatting sqref="B363">
    <cfRule type="cellIs" dxfId="29" priority="68" stopIfTrue="1" operator="lessThanOrEqual">
      <formula>0.05</formula>
    </cfRule>
    <cfRule type="cellIs" dxfId="28" priority="69" stopIfTrue="1" operator="lessThanOrEqual">
      <formula>0.1</formula>
    </cfRule>
  </conditionalFormatting>
  <conditionalFormatting sqref="B375">
    <cfRule type="cellIs" dxfId="27" priority="70" stopIfTrue="1" operator="notBetween">
      <formula>15</formula>
      <formula>85</formula>
    </cfRule>
    <cfRule type="cellIs" dxfId="26" priority="71" stopIfTrue="1" operator="notBetween">
      <formula>25</formula>
      <formula>75</formula>
    </cfRule>
  </conditionalFormatting>
  <conditionalFormatting sqref="B382">
    <cfRule type="cellIs" dxfId="25" priority="72" stopIfTrue="1" operator="lessThanOrEqual">
      <formula>0.05</formula>
    </cfRule>
    <cfRule type="cellIs" dxfId="24" priority="73" stopIfTrue="1" operator="lessThanOrEqual">
      <formula>0.1</formula>
    </cfRule>
  </conditionalFormatting>
  <conditionalFormatting sqref="B394">
    <cfRule type="cellIs" dxfId="23" priority="74" stopIfTrue="1" operator="notBetween">
      <formula>15</formula>
      <formula>85</formula>
    </cfRule>
    <cfRule type="cellIs" dxfId="22" priority="75" stopIfTrue="1" operator="notBetween">
      <formula>25</formula>
      <formula>75</formula>
    </cfRule>
  </conditionalFormatting>
  <conditionalFormatting sqref="B401">
    <cfRule type="cellIs" dxfId="21" priority="76" stopIfTrue="1" operator="lessThanOrEqual">
      <formula>0.05</formula>
    </cfRule>
    <cfRule type="cellIs" dxfId="20" priority="77" stopIfTrue="1" operator="lessThanOrEqual">
      <formula>0.1</formula>
    </cfRule>
  </conditionalFormatting>
  <conditionalFormatting sqref="B413">
    <cfRule type="cellIs" dxfId="19" priority="78" stopIfTrue="1" operator="notBetween">
      <formula>15</formula>
      <formula>85</formula>
    </cfRule>
    <cfRule type="cellIs" dxfId="18" priority="79" stopIfTrue="1" operator="notBetween">
      <formula>25</formula>
      <formula>75</formula>
    </cfRule>
  </conditionalFormatting>
  <conditionalFormatting sqref="B420">
    <cfRule type="cellIs" dxfId="17" priority="80" stopIfTrue="1" operator="lessThanOrEqual">
      <formula>0.05</formula>
    </cfRule>
    <cfRule type="cellIs" dxfId="16" priority="81" stopIfTrue="1" operator="lessThanOrEqual">
      <formula>0.1</formula>
    </cfRule>
  </conditionalFormatting>
  <conditionalFormatting sqref="B436">
    <cfRule type="cellIs" dxfId="15" priority="82" stopIfTrue="1" operator="notBetween">
      <formula>15</formula>
      <formula>85</formula>
    </cfRule>
    <cfRule type="cellIs" dxfId="14" priority="83" stopIfTrue="1" operator="notBetween">
      <formula>25</formula>
      <formula>75</formula>
    </cfRule>
  </conditionalFormatting>
  <conditionalFormatting sqref="B443">
    <cfRule type="cellIs" dxfId="13" priority="84" stopIfTrue="1" operator="lessThanOrEqual">
      <formula>0.05</formula>
    </cfRule>
    <cfRule type="cellIs" dxfId="12" priority="85" stopIfTrue="1" operator="lessThanOrEqual">
      <formula>0.1</formula>
    </cfRule>
  </conditionalFormatting>
  <conditionalFormatting sqref="B459">
    <cfRule type="cellIs" dxfId="11" priority="86" stopIfTrue="1" operator="notBetween">
      <formula>15</formula>
      <formula>85</formula>
    </cfRule>
    <cfRule type="cellIs" dxfId="10" priority="87" stopIfTrue="1" operator="notBetween">
      <formula>25</formula>
      <formula>75</formula>
    </cfRule>
  </conditionalFormatting>
  <conditionalFormatting sqref="B466">
    <cfRule type="cellIs" dxfId="9" priority="88" stopIfTrue="1" operator="lessThanOrEqual">
      <formula>0.05</formula>
    </cfRule>
    <cfRule type="cellIs" dxfId="8" priority="89" stopIfTrue="1" operator="lessThanOrEqual">
      <formula>0.1</formula>
    </cfRule>
  </conditionalFormatting>
  <conditionalFormatting sqref="B478">
    <cfRule type="cellIs" dxfId="7" priority="90" stopIfTrue="1" operator="notBetween">
      <formula>15</formula>
      <formula>85</formula>
    </cfRule>
    <cfRule type="cellIs" dxfId="6" priority="91" stopIfTrue="1" operator="notBetween">
      <formula>25</formula>
      <formula>75</formula>
    </cfRule>
  </conditionalFormatting>
  <conditionalFormatting sqref="B485">
    <cfRule type="cellIs" dxfId="5" priority="92" stopIfTrue="1" operator="lessThanOrEqual">
      <formula>0.05</formula>
    </cfRule>
    <cfRule type="cellIs" dxfId="4" priority="93" stopIfTrue="1" operator="lessThanOrEqual">
      <formula>0.1</formula>
    </cfRule>
  </conditionalFormatting>
  <conditionalFormatting sqref="B497">
    <cfRule type="cellIs" dxfId="3" priority="94" stopIfTrue="1" operator="notBetween">
      <formula>15</formula>
      <formula>85</formula>
    </cfRule>
    <cfRule type="cellIs" dxfId="2" priority="95" stopIfTrue="1" operator="notBetween">
      <formula>25</formula>
      <formula>75</formula>
    </cfRule>
  </conditionalFormatting>
  <conditionalFormatting sqref="B504">
    <cfRule type="cellIs" dxfId="1" priority="96" stopIfTrue="1" operator="lessThanOrEqual">
      <formula>0.05</formula>
    </cfRule>
    <cfRule type="cellIs" dxfId="0" priority="97" stopIfTrue="1" operator="lessThanOrEqual">
      <formula>0.1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3"/>
  <dimension ref="A1:G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26</v>
      </c>
    </row>
    <row r="2" spans="1:7">
      <c r="A2" s="2" t="s">
        <v>135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1564</v>
      </c>
      <c r="B4" t="e">
        <f>NA()</f>
        <v>#N/A</v>
      </c>
      <c r="C4">
        <v>403.18566450970638</v>
      </c>
      <c r="D4">
        <v>365.85365853658533</v>
      </c>
      <c r="E4" t="s">
        <v>14</v>
      </c>
    </row>
    <row r="5" spans="1:7">
      <c r="A5" s="1" t="s">
        <v>1565</v>
      </c>
      <c r="B5">
        <v>398.19004524886878</v>
      </c>
      <c r="C5">
        <v>421.56268927922468</v>
      </c>
      <c r="D5">
        <v>408.16326530612247</v>
      </c>
    </row>
    <row r="6" spans="1:7">
      <c r="A6" s="1" t="s">
        <v>1185</v>
      </c>
      <c r="B6" t="e">
        <f>NA()</f>
        <v>#N/A</v>
      </c>
      <c r="C6">
        <v>450.67601402103156</v>
      </c>
      <c r="D6">
        <v>323.41051084160233</v>
      </c>
      <c r="E6" t="s">
        <v>14</v>
      </c>
    </row>
    <row r="7" spans="1:7">
      <c r="A7" s="1" t="s">
        <v>1188</v>
      </c>
      <c r="B7">
        <v>379.93768217911349</v>
      </c>
      <c r="C7">
        <v>318.02120141342755</v>
      </c>
      <c r="D7">
        <v>307.16723549488052</v>
      </c>
    </row>
    <row r="8" spans="1:7">
      <c r="A8" s="1" t="s">
        <v>1568</v>
      </c>
      <c r="B8" t="e">
        <f>NA()</f>
        <v>#N/A</v>
      </c>
      <c r="C8">
        <v>372.77402577901847</v>
      </c>
      <c r="D8" t="e">
        <f>NA()</f>
        <v>#N/A</v>
      </c>
      <c r="E8" t="s">
        <v>14</v>
      </c>
      <c r="G8" t="s">
        <v>42</v>
      </c>
    </row>
    <row r="9" spans="1:7">
      <c r="A9" s="1" t="s">
        <v>1571</v>
      </c>
      <c r="B9">
        <v>277.21976697468864</v>
      </c>
      <c r="C9">
        <v>317.54032258064512</v>
      </c>
      <c r="D9" t="e">
        <f>NA()</f>
        <v>#N/A</v>
      </c>
      <c r="G9" t="s">
        <v>17</v>
      </c>
    </row>
    <row r="10" spans="1:7">
      <c r="A10" s="1" t="s">
        <v>1313</v>
      </c>
      <c r="B10" t="e">
        <f>NA()</f>
        <v>#N/A</v>
      </c>
      <c r="C10">
        <v>456.50519908698953</v>
      </c>
      <c r="D10">
        <v>325.92592592592592</v>
      </c>
      <c r="E10" t="s">
        <v>14</v>
      </c>
    </row>
    <row r="11" spans="1:7">
      <c r="A11" s="1" t="s">
        <v>1435</v>
      </c>
      <c r="B11">
        <v>285.33722685765775</v>
      </c>
      <c r="C11">
        <v>307.20468121418997</v>
      </c>
      <c r="D11">
        <v>274.42510481514415</v>
      </c>
    </row>
    <row r="12" spans="1:7">
      <c r="A12" s="1" t="s">
        <v>588</v>
      </c>
      <c r="B12" t="e">
        <f>NA()</f>
        <v>#N/A</v>
      </c>
      <c r="C12">
        <v>473.66473418033797</v>
      </c>
      <c r="D12">
        <v>326.46715895841436</v>
      </c>
      <c r="E12" t="s">
        <v>14</v>
      </c>
    </row>
    <row r="13" spans="1:7">
      <c r="A13" s="1" t="s">
        <v>830</v>
      </c>
      <c r="B13" t="e">
        <f>NA()</f>
        <v>#N/A</v>
      </c>
      <c r="C13">
        <v>295.94574467861946</v>
      </c>
      <c r="D13">
        <v>279.54879843060326</v>
      </c>
      <c r="E13" t="s">
        <v>106</v>
      </c>
    </row>
    <row r="14" spans="1:7">
      <c r="A14" s="1" t="s">
        <v>612</v>
      </c>
      <c r="B14" t="e">
        <f>NA()</f>
        <v>#N/A</v>
      </c>
      <c r="C14">
        <v>420.63094641962948</v>
      </c>
      <c r="D14">
        <v>308.12684555141868</v>
      </c>
      <c r="E14" t="s">
        <v>14</v>
      </c>
    </row>
    <row r="15" spans="1:7">
      <c r="A15" s="1" t="s">
        <v>1323</v>
      </c>
      <c r="B15">
        <v>307.56214696294825</v>
      </c>
      <c r="C15">
        <v>308.74785591766721</v>
      </c>
      <c r="D15">
        <v>265.911609011449</v>
      </c>
    </row>
    <row r="16" spans="1:7">
      <c r="A16" s="1" t="s">
        <v>1572</v>
      </c>
      <c r="B16">
        <v>341.11094385066986</v>
      </c>
      <c r="C16">
        <v>321.46957520091854</v>
      </c>
      <c r="D16">
        <v>284.07675056067779</v>
      </c>
    </row>
    <row r="17" spans="1:7">
      <c r="A17" s="1" t="s">
        <v>1575</v>
      </c>
      <c r="B17">
        <v>344.0023543726798</v>
      </c>
      <c r="C17">
        <v>388.63976083707024</v>
      </c>
      <c r="D17">
        <v>300.33788011512956</v>
      </c>
    </row>
    <row r="18" spans="1:7">
      <c r="A18" s="1"/>
    </row>
    <row r="19" spans="1:7">
      <c r="A19" s="4" t="s">
        <v>18</v>
      </c>
      <c r="B19">
        <v>12</v>
      </c>
    </row>
    <row r="20" spans="1:7">
      <c r="A20" s="3" t="s">
        <v>191</v>
      </c>
      <c r="B20">
        <v>12</v>
      </c>
    </row>
    <row r="21" spans="1:7">
      <c r="A21" s="3" t="s">
        <v>192</v>
      </c>
      <c r="B21">
        <v>0</v>
      </c>
    </row>
    <row r="22" spans="1:7">
      <c r="A22" s="6" t="s">
        <v>193</v>
      </c>
      <c r="B22">
        <v>100</v>
      </c>
    </row>
    <row r="24" spans="1:7">
      <c r="A24" s="4" t="s">
        <v>19</v>
      </c>
      <c r="B24">
        <v>66.403276934238278</v>
      </c>
    </row>
    <row r="25" spans="1:7">
      <c r="A25" s="1" t="s">
        <v>20</v>
      </c>
      <c r="B25">
        <v>2611.2539361481927</v>
      </c>
    </row>
    <row r="26" spans="1:7">
      <c r="A26" s="1" t="s">
        <v>23</v>
      </c>
      <c r="B26">
        <v>51.1004299017943</v>
      </c>
    </row>
    <row r="27" spans="1:7">
      <c r="A27" s="1" t="s">
        <v>24</v>
      </c>
      <c r="B27">
        <v>14.751423479753269</v>
      </c>
    </row>
    <row r="28" spans="1:7">
      <c r="A28" s="1" t="s">
        <v>21</v>
      </c>
      <c r="B28">
        <v>4.501482655241956</v>
      </c>
    </row>
    <row r="29" spans="1:7">
      <c r="A29" s="4" t="s">
        <v>22</v>
      </c>
      <c r="B29">
        <f>TDIST(ABS(B28),11,1)</f>
        <v>4.4950602195850003E-4</v>
      </c>
    </row>
    <row r="30" spans="1:7">
      <c r="A30" s="1"/>
    </row>
    <row r="31" spans="1:7">
      <c r="A31" s="5" t="s">
        <v>1823</v>
      </c>
    </row>
    <row r="32" spans="1:7">
      <c r="A32" s="4" t="s">
        <v>7</v>
      </c>
      <c r="B32" s="3" t="s">
        <v>8</v>
      </c>
      <c r="C32" s="3" t="s">
        <v>9</v>
      </c>
      <c r="D32" s="3" t="s">
        <v>10</v>
      </c>
      <c r="E32" s="3" t="s">
        <v>11</v>
      </c>
      <c r="F32" s="3" t="s">
        <v>12</v>
      </c>
      <c r="G32" s="3" t="s">
        <v>13</v>
      </c>
    </row>
    <row r="33" spans="1:5">
      <c r="A33" s="1" t="s">
        <v>1566</v>
      </c>
      <c r="B33">
        <v>397.88360481874253</v>
      </c>
      <c r="C33">
        <v>406.32054176072239</v>
      </c>
      <c r="D33">
        <v>387.57763975155285</v>
      </c>
    </row>
    <row r="34" spans="1:5">
      <c r="A34" s="1" t="s">
        <v>1567</v>
      </c>
      <c r="B34" t="e">
        <f>NA()</f>
        <v>#N/A</v>
      </c>
      <c r="C34">
        <v>355.51166522651522</v>
      </c>
      <c r="D34">
        <v>336.09352167559672</v>
      </c>
      <c r="E34" t="s">
        <v>15</v>
      </c>
    </row>
    <row r="35" spans="1:5">
      <c r="A35" s="1" t="s">
        <v>1186</v>
      </c>
      <c r="B35">
        <v>369.05558709152677</v>
      </c>
      <c r="C35">
        <v>321.71581769436995</v>
      </c>
      <c r="D35">
        <v>284.78641019235579</v>
      </c>
    </row>
    <row r="36" spans="1:5">
      <c r="A36" s="1" t="s">
        <v>1187</v>
      </c>
      <c r="B36">
        <v>370.62004346720312</v>
      </c>
      <c r="C36">
        <v>252.36593059936908</v>
      </c>
      <c r="D36">
        <v>258.88324873096445</v>
      </c>
    </row>
    <row r="37" spans="1:5">
      <c r="A37" s="1" t="s">
        <v>1569</v>
      </c>
      <c r="B37">
        <v>315.61141116522396</v>
      </c>
      <c r="C37">
        <v>290.40886511272453</v>
      </c>
      <c r="D37">
        <v>219.324966492019</v>
      </c>
    </row>
    <row r="38" spans="1:5">
      <c r="A38" s="1" t="s">
        <v>1570</v>
      </c>
      <c r="B38">
        <v>286.83857631818654</v>
      </c>
      <c r="C38">
        <v>325.1231527093596</v>
      </c>
      <c r="D38">
        <v>267.7243430837878</v>
      </c>
    </row>
    <row r="39" spans="1:5">
      <c r="A39" s="1" t="s">
        <v>1315</v>
      </c>
      <c r="B39">
        <v>338.5091617155125</v>
      </c>
      <c r="C39">
        <v>333.75474083438684</v>
      </c>
      <c r="D39">
        <v>249.7073741708935</v>
      </c>
    </row>
    <row r="40" spans="1:5">
      <c r="A40" t="s">
        <v>1433</v>
      </c>
      <c r="B40">
        <v>380.55121489256817</v>
      </c>
      <c r="C40">
        <v>320.77764277035237</v>
      </c>
      <c r="D40">
        <v>270.13506753376686</v>
      </c>
    </row>
    <row r="41" spans="1:5">
      <c r="A41" t="s">
        <v>827</v>
      </c>
      <c r="B41">
        <v>469.33808642193185</v>
      </c>
      <c r="C41">
        <v>357.94183445190157</v>
      </c>
      <c r="D41">
        <v>318.5375933123405</v>
      </c>
    </row>
    <row r="42" spans="1:5">
      <c r="A42" t="s">
        <v>589</v>
      </c>
      <c r="B42">
        <v>394.14301474275402</v>
      </c>
      <c r="C42">
        <v>307.12979890310783</v>
      </c>
      <c r="D42">
        <v>289.74456728936337</v>
      </c>
    </row>
    <row r="43" spans="1:5">
      <c r="A43" t="s">
        <v>1482</v>
      </c>
      <c r="B43">
        <v>316.20950134263558</v>
      </c>
      <c r="C43">
        <v>318.94696873813439</v>
      </c>
      <c r="D43">
        <v>283.15946348733229</v>
      </c>
    </row>
    <row r="44" spans="1:5">
      <c r="A44" s="1" t="s">
        <v>1483</v>
      </c>
      <c r="B44">
        <v>315.53641190023041</v>
      </c>
      <c r="C44">
        <v>327.66538413801663</v>
      </c>
      <c r="D44">
        <v>287.91514080060614</v>
      </c>
    </row>
    <row r="45" spans="1:5">
      <c r="A45" s="1" t="s">
        <v>1573</v>
      </c>
      <c r="B45" t="e">
        <f>NA()</f>
        <v>#N/A</v>
      </c>
      <c r="C45">
        <v>281.09974109234378</v>
      </c>
      <c r="D45">
        <v>276.17951668584584</v>
      </c>
      <c r="E45" t="s">
        <v>145</v>
      </c>
    </row>
    <row r="46" spans="1:5">
      <c r="A46" s="1" t="s">
        <v>1574</v>
      </c>
      <c r="B46">
        <v>322.07559830015657</v>
      </c>
      <c r="C46">
        <v>276.02905569007265</v>
      </c>
      <c r="D46">
        <v>277.71010962241166</v>
      </c>
    </row>
    <row r="47" spans="1:5">
      <c r="A47" s="1"/>
    </row>
    <row r="48" spans="1:5">
      <c r="A48" s="4" t="s">
        <v>18</v>
      </c>
      <c r="B48">
        <v>14</v>
      </c>
    </row>
    <row r="49" spans="1:7">
      <c r="A49" s="4" t="s">
        <v>191</v>
      </c>
      <c r="B49">
        <v>12</v>
      </c>
    </row>
    <row r="50" spans="1:7">
      <c r="A50" s="4" t="s">
        <v>192</v>
      </c>
      <c r="B50">
        <v>2</v>
      </c>
    </row>
    <row r="51" spans="1:7">
      <c r="A51" s="6" t="s">
        <v>193</v>
      </c>
      <c r="B51">
        <v>85.714285714285708</v>
      </c>
    </row>
    <row r="52" spans="1:7">
      <c r="A52" s="1"/>
    </row>
    <row r="53" spans="1:7">
      <c r="A53" s="4" t="s">
        <v>19</v>
      </c>
      <c r="B53">
        <v>33.379441206610004</v>
      </c>
    </row>
    <row r="54" spans="1:7">
      <c r="A54" s="1" t="s">
        <v>20</v>
      </c>
      <c r="B54">
        <v>711.92112310030382</v>
      </c>
    </row>
    <row r="55" spans="1:7">
      <c r="A55" s="1" t="s">
        <v>23</v>
      </c>
      <c r="B55">
        <v>26.68185006891958</v>
      </c>
    </row>
    <row r="56" spans="1:7">
      <c r="A56" s="1" t="s">
        <v>24</v>
      </c>
      <c r="B56">
        <v>7.1310243859405533</v>
      </c>
    </row>
    <row r="57" spans="1:7">
      <c r="A57" s="1" t="s">
        <v>21</v>
      </c>
      <c r="B57">
        <v>4.6808760424968581</v>
      </c>
    </row>
    <row r="58" spans="1:7">
      <c r="A58" s="4" t="s">
        <v>22</v>
      </c>
      <c r="B58">
        <f>TDIST(ABS(B57),13,1)</f>
        <v>2.1490797922197981E-4</v>
      </c>
    </row>
    <row r="59" spans="1:7">
      <c r="A59" s="1"/>
    </row>
    <row r="60" spans="1:7">
      <c r="A60" s="5" t="s">
        <v>136</v>
      </c>
    </row>
    <row r="61" spans="1:7">
      <c r="A61" s="4" t="s">
        <v>7</v>
      </c>
      <c r="B61" s="3" t="s">
        <v>8</v>
      </c>
      <c r="C61" s="3" t="s">
        <v>9</v>
      </c>
      <c r="D61" s="3" t="s">
        <v>10</v>
      </c>
      <c r="E61" s="3" t="s">
        <v>11</v>
      </c>
      <c r="F61" s="3" t="s">
        <v>12</v>
      </c>
      <c r="G61" s="3" t="s">
        <v>13</v>
      </c>
    </row>
    <row r="62" spans="1:7">
      <c r="A62" s="1" t="s">
        <v>1576</v>
      </c>
      <c r="B62">
        <v>419.8550140958518</v>
      </c>
      <c r="C62">
        <v>380.37276531000379</v>
      </c>
      <c r="D62">
        <v>354.6361285555966</v>
      </c>
    </row>
    <row r="63" spans="1:7">
      <c r="A63" s="1" t="s">
        <v>1579</v>
      </c>
      <c r="B63">
        <v>367.03961070544131</v>
      </c>
      <c r="C63">
        <v>339.59351685104195</v>
      </c>
      <c r="D63">
        <v>322.18696607273614</v>
      </c>
    </row>
    <row r="64" spans="1:7">
      <c r="A64" s="1" t="s">
        <v>1580</v>
      </c>
      <c r="B64">
        <v>323.48591444122167</v>
      </c>
      <c r="C64">
        <v>282.00371057513911</v>
      </c>
      <c r="D64">
        <v>283.79387602688575</v>
      </c>
    </row>
    <row r="65" spans="1:7">
      <c r="A65" s="1" t="s">
        <v>1581</v>
      </c>
      <c r="B65">
        <v>307.27519204699502</v>
      </c>
      <c r="C65">
        <v>287.33459357277883</v>
      </c>
      <c r="D65">
        <v>280.92656481025136</v>
      </c>
    </row>
    <row r="66" spans="1:7">
      <c r="A66" t="s">
        <v>1193</v>
      </c>
      <c r="B66">
        <v>351.86623198118883</v>
      </c>
      <c r="C66">
        <v>316.3047571231329</v>
      </c>
      <c r="D66">
        <v>323.33129210042864</v>
      </c>
    </row>
    <row r="67" spans="1:7">
      <c r="A67" t="s">
        <v>1194</v>
      </c>
      <c r="B67">
        <v>367.48047200826409</v>
      </c>
      <c r="C67">
        <v>324.92307692307696</v>
      </c>
      <c r="D67">
        <v>341.37291280148423</v>
      </c>
    </row>
    <row r="68" spans="1:7">
      <c r="A68" t="s">
        <v>1269</v>
      </c>
      <c r="B68">
        <v>340.45124345999096</v>
      </c>
      <c r="C68">
        <v>314.84257871064472</v>
      </c>
      <c r="D68" t="e">
        <f>NA()</f>
        <v>#N/A</v>
      </c>
      <c r="G68" t="s">
        <v>17</v>
      </c>
    </row>
    <row r="69" spans="1:7">
      <c r="A69" t="s">
        <v>1272</v>
      </c>
      <c r="B69">
        <v>305.00112132765196</v>
      </c>
      <c r="C69">
        <v>281.0650887573965</v>
      </c>
      <c r="D69">
        <v>283.61736534394822</v>
      </c>
    </row>
    <row r="70" spans="1:7">
      <c r="A70" s="1" t="s">
        <v>1584</v>
      </c>
      <c r="B70">
        <v>349.95097669507504</v>
      </c>
      <c r="C70">
        <v>339.68090581574882</v>
      </c>
      <c r="D70">
        <v>317.34038534189648</v>
      </c>
    </row>
    <row r="71" spans="1:7">
      <c r="A71" s="1" t="s">
        <v>1586</v>
      </c>
      <c r="B71">
        <v>296.25386229902671</v>
      </c>
      <c r="C71">
        <v>282.91351284278448</v>
      </c>
      <c r="D71">
        <v>293.00451715297277</v>
      </c>
    </row>
    <row r="72" spans="1:7">
      <c r="A72" s="1" t="s">
        <v>1368</v>
      </c>
      <c r="B72">
        <v>316.36555048662211</v>
      </c>
      <c r="C72">
        <v>311.20331950207469</v>
      </c>
      <c r="D72">
        <v>295.60290676191647</v>
      </c>
    </row>
    <row r="73" spans="1:7">
      <c r="A73" s="1" t="s">
        <v>1371</v>
      </c>
      <c r="B73">
        <v>296.10428453926875</v>
      </c>
      <c r="C73">
        <v>282.07348756649753</v>
      </c>
      <c r="D73">
        <v>280.61538461538464</v>
      </c>
    </row>
    <row r="74" spans="1:7">
      <c r="A74" s="1" t="s">
        <v>592</v>
      </c>
      <c r="B74">
        <v>297.55792110206636</v>
      </c>
      <c r="C74">
        <v>240.5412177399148</v>
      </c>
      <c r="D74">
        <v>234.77622890682318</v>
      </c>
    </row>
    <row r="75" spans="1:7">
      <c r="A75" s="1" t="s">
        <v>955</v>
      </c>
      <c r="B75">
        <v>269.70378039849487</v>
      </c>
      <c r="C75">
        <v>279.92633517495392</v>
      </c>
      <c r="D75">
        <v>268.957788569294</v>
      </c>
    </row>
    <row r="76" spans="1:7">
      <c r="A76" s="1" t="s">
        <v>1324</v>
      </c>
      <c r="B76" t="e">
        <f>NA()</f>
        <v>#N/A</v>
      </c>
      <c r="C76">
        <v>288.18443804034581</v>
      </c>
      <c r="D76">
        <v>278.7893764794631</v>
      </c>
      <c r="E76" t="s">
        <v>17</v>
      </c>
    </row>
    <row r="77" spans="1:7">
      <c r="A77" s="1" t="s">
        <v>1484</v>
      </c>
      <c r="B77">
        <v>340.39164945631893</v>
      </c>
      <c r="C77">
        <v>278.72860635696821</v>
      </c>
      <c r="D77">
        <v>278.69453612027871</v>
      </c>
    </row>
    <row r="78" spans="1:7">
      <c r="A78" s="1" t="s">
        <v>1588</v>
      </c>
      <c r="B78" t="e">
        <f>NA()</f>
        <v>#N/A</v>
      </c>
      <c r="C78">
        <v>369.7769012695673</v>
      </c>
      <c r="D78">
        <v>329.17705735660849</v>
      </c>
      <c r="E78" t="s">
        <v>14</v>
      </c>
    </row>
    <row r="79" spans="1:7">
      <c r="A79" s="1" t="s">
        <v>1591</v>
      </c>
      <c r="B79">
        <v>370.26816847703384</v>
      </c>
      <c r="C79">
        <v>276.96793002915456</v>
      </c>
      <c r="D79">
        <v>256.15268709191361</v>
      </c>
    </row>
    <row r="80" spans="1:7">
      <c r="A80" s="1"/>
    </row>
    <row r="81" spans="1:7">
      <c r="A81" s="4" t="s">
        <v>18</v>
      </c>
      <c r="B81">
        <v>17</v>
      </c>
    </row>
    <row r="82" spans="1:7">
      <c r="A82" s="4" t="s">
        <v>191</v>
      </c>
      <c r="B82">
        <v>12</v>
      </c>
    </row>
    <row r="83" spans="1:7">
      <c r="A83" s="4" t="s">
        <v>192</v>
      </c>
      <c r="B83">
        <v>5</v>
      </c>
    </row>
    <row r="84" spans="1:7">
      <c r="A84" s="6" t="s">
        <v>193</v>
      </c>
      <c r="B84">
        <v>70.588235294117652</v>
      </c>
    </row>
    <row r="85" spans="1:7">
      <c r="A85" s="1"/>
    </row>
    <row r="86" spans="1:7">
      <c r="A86" s="4" t="s">
        <v>19</v>
      </c>
      <c r="B86">
        <v>8.1540111378057532</v>
      </c>
    </row>
    <row r="87" spans="1:7">
      <c r="A87" s="1" t="s">
        <v>20</v>
      </c>
      <c r="B87">
        <v>210.97996494877228</v>
      </c>
    </row>
    <row r="88" spans="1:7">
      <c r="A88" s="1" t="s">
        <v>23</v>
      </c>
      <c r="B88">
        <v>14.525149395058637</v>
      </c>
    </row>
    <row r="89" spans="1:7">
      <c r="A89" s="1" t="s">
        <v>24</v>
      </c>
      <c r="B89">
        <v>3.52286618727666</v>
      </c>
    </row>
    <row r="90" spans="1:7">
      <c r="A90" t="s">
        <v>21</v>
      </c>
      <c r="B90">
        <v>2.3145957593436681</v>
      </c>
    </row>
    <row r="91" spans="1:7">
      <c r="A91" s="3" t="s">
        <v>22</v>
      </c>
      <c r="B91">
        <f>TDIST(ABS(B90),16,1)</f>
        <v>1.7123789332076783E-2</v>
      </c>
    </row>
    <row r="93" spans="1:7">
      <c r="A93" s="2" t="s">
        <v>1820</v>
      </c>
    </row>
    <row r="94" spans="1:7">
      <c r="A94" s="4" t="s">
        <v>7</v>
      </c>
      <c r="B94" s="3" t="s">
        <v>8</v>
      </c>
      <c r="C94" s="3" t="s">
        <v>9</v>
      </c>
      <c r="D94" s="3" t="s">
        <v>10</v>
      </c>
      <c r="E94" s="3" t="s">
        <v>11</v>
      </c>
      <c r="F94" s="3" t="s">
        <v>12</v>
      </c>
      <c r="G94" s="3" t="s">
        <v>13</v>
      </c>
    </row>
    <row r="95" spans="1:7">
      <c r="A95" t="s">
        <v>1577</v>
      </c>
      <c r="B95">
        <v>412.95728286077656</v>
      </c>
      <c r="C95">
        <v>399.60532807104096</v>
      </c>
      <c r="D95">
        <v>396.94656488549617</v>
      </c>
    </row>
    <row r="96" spans="1:7">
      <c r="A96" t="s">
        <v>1578</v>
      </c>
      <c r="B96">
        <v>395.86144849302741</v>
      </c>
      <c r="C96">
        <v>397.09812905689193</v>
      </c>
      <c r="D96">
        <v>326.93498452012386</v>
      </c>
    </row>
    <row r="97" spans="1:5">
      <c r="A97" t="s">
        <v>1582</v>
      </c>
      <c r="B97">
        <v>306.89767570142669</v>
      </c>
      <c r="C97">
        <v>300.9781790820166</v>
      </c>
      <c r="D97">
        <v>299.10269192422732</v>
      </c>
    </row>
    <row r="98" spans="1:5">
      <c r="A98" t="s">
        <v>1583</v>
      </c>
      <c r="B98">
        <v>325.71343194382189</v>
      </c>
      <c r="C98">
        <v>292.46892517669994</v>
      </c>
      <c r="D98">
        <v>302.99204645878046</v>
      </c>
    </row>
    <row r="99" spans="1:5">
      <c r="A99" s="1" t="s">
        <v>1195</v>
      </c>
      <c r="B99">
        <v>412.87568464613946</v>
      </c>
      <c r="C99">
        <v>349.14611005692598</v>
      </c>
      <c r="D99">
        <v>330.49574361542318</v>
      </c>
    </row>
    <row r="100" spans="1:5">
      <c r="A100" s="1" t="s">
        <v>1196</v>
      </c>
      <c r="B100">
        <v>365.5865246619835</v>
      </c>
      <c r="C100">
        <v>311.68831168831167</v>
      </c>
      <c r="D100">
        <v>313.08237048080508</v>
      </c>
    </row>
    <row r="101" spans="1:5">
      <c r="A101" s="1" t="s">
        <v>1270</v>
      </c>
      <c r="B101" t="e">
        <f>NA()</f>
        <v>#N/A</v>
      </c>
      <c r="C101">
        <v>299.88754217168565</v>
      </c>
      <c r="D101">
        <v>303.10684516291991</v>
      </c>
      <c r="E101" t="s">
        <v>17</v>
      </c>
    </row>
    <row r="102" spans="1:5">
      <c r="A102" s="1" t="s">
        <v>1271</v>
      </c>
      <c r="B102">
        <v>331.66662478956755</v>
      </c>
      <c r="C102">
        <v>317.58034026465026</v>
      </c>
      <c r="D102">
        <v>289.4502983369303</v>
      </c>
    </row>
    <row r="103" spans="1:5">
      <c r="A103" s="1" t="s">
        <v>1585</v>
      </c>
      <c r="B103">
        <v>350.2679852041972</v>
      </c>
      <c r="C103">
        <v>306.79327976625274</v>
      </c>
      <c r="D103">
        <v>303.22173089071384</v>
      </c>
    </row>
    <row r="104" spans="1:5">
      <c r="A104" s="1" t="s">
        <v>1587</v>
      </c>
      <c r="B104">
        <v>315.39424280350437</v>
      </c>
      <c r="C104">
        <v>289.19330289193306</v>
      </c>
      <c r="D104">
        <v>273.31393141844865</v>
      </c>
    </row>
    <row r="105" spans="1:5">
      <c r="A105" s="1" t="s">
        <v>1369</v>
      </c>
      <c r="B105">
        <v>337.06822427725547</v>
      </c>
      <c r="C105">
        <v>340.52268549116599</v>
      </c>
      <c r="D105">
        <v>297.74961136195418</v>
      </c>
    </row>
    <row r="106" spans="1:5">
      <c r="A106" s="1" t="s">
        <v>1439</v>
      </c>
      <c r="B106">
        <v>288.76925748592129</v>
      </c>
      <c r="C106">
        <v>277.55102040816325</v>
      </c>
      <c r="D106">
        <v>274.31523866212461</v>
      </c>
    </row>
    <row r="107" spans="1:5">
      <c r="A107" s="1" t="s">
        <v>594</v>
      </c>
      <c r="B107">
        <v>284.36735825749361</v>
      </c>
      <c r="C107">
        <v>274.80916030534348</v>
      </c>
      <c r="D107">
        <v>227.08456534594916</v>
      </c>
    </row>
    <row r="108" spans="1:5">
      <c r="A108" s="1" t="s">
        <v>595</v>
      </c>
      <c r="B108">
        <v>266.65993282997903</v>
      </c>
      <c r="C108">
        <v>266.56793780081449</v>
      </c>
      <c r="D108">
        <v>252.81943239558802</v>
      </c>
    </row>
    <row r="109" spans="1:5">
      <c r="A109" s="1" t="s">
        <v>1325</v>
      </c>
      <c r="B109">
        <v>289.27820602662928</v>
      </c>
      <c r="C109">
        <v>298.02558052899536</v>
      </c>
      <c r="D109">
        <v>270.2026519889917</v>
      </c>
    </row>
    <row r="110" spans="1:5">
      <c r="A110" s="1" t="s">
        <v>1487</v>
      </c>
      <c r="B110">
        <v>273.79400260756194</v>
      </c>
      <c r="C110">
        <v>275.96780375622842</v>
      </c>
      <c r="D110">
        <v>257.44573447753658</v>
      </c>
    </row>
    <row r="111" spans="1:5">
      <c r="A111" s="1" t="s">
        <v>1589</v>
      </c>
      <c r="B111">
        <v>332.76706305586089</v>
      </c>
      <c r="C111">
        <v>260.7695257573821</v>
      </c>
      <c r="D111">
        <v>252.56902315216047</v>
      </c>
    </row>
    <row r="112" spans="1:5">
      <c r="A112" s="1" t="s">
        <v>1590</v>
      </c>
      <c r="B112">
        <v>376.166189824605</v>
      </c>
      <c r="C112">
        <v>252.94482331060138</v>
      </c>
      <c r="D112">
        <v>241.29697122030916</v>
      </c>
    </row>
    <row r="113" spans="1:7">
      <c r="A113" s="1"/>
    </row>
    <row r="114" spans="1:7">
      <c r="A114" s="4" t="s">
        <v>18</v>
      </c>
      <c r="B114">
        <v>18</v>
      </c>
    </row>
    <row r="115" spans="1:7">
      <c r="A115" s="4" t="s">
        <v>191</v>
      </c>
      <c r="B115">
        <v>15</v>
      </c>
    </row>
    <row r="116" spans="1:7">
      <c r="A116" s="4" t="s">
        <v>192</v>
      </c>
      <c r="B116">
        <v>3</v>
      </c>
    </row>
    <row r="117" spans="1:7">
      <c r="A117" s="6" t="s">
        <v>193</v>
      </c>
      <c r="B117">
        <v>83.333333333333329</v>
      </c>
    </row>
    <row r="118" spans="1:7">
      <c r="A118" s="1"/>
    </row>
    <row r="119" spans="1:7">
      <c r="A119" s="4" t="s">
        <v>19</v>
      </c>
      <c r="B119">
        <v>16.637086071478919</v>
      </c>
    </row>
    <row r="120" spans="1:7">
      <c r="A120" t="s">
        <v>20</v>
      </c>
      <c r="B120">
        <v>417.94369266121561</v>
      </c>
    </row>
    <row r="121" spans="1:7">
      <c r="A121" t="s">
        <v>23</v>
      </c>
      <c r="B121">
        <v>20.443671212901453</v>
      </c>
    </row>
    <row r="122" spans="1:7">
      <c r="A122" t="s">
        <v>24</v>
      </c>
      <c r="B122">
        <v>4.8186195156636096</v>
      </c>
    </row>
    <row r="123" spans="1:7">
      <c r="A123" t="s">
        <v>21</v>
      </c>
      <c r="B123">
        <v>3.4526664778984313</v>
      </c>
    </row>
    <row r="124" spans="1:7">
      <c r="A124" s="4" t="s">
        <v>22</v>
      </c>
      <c r="B124">
        <f>TDIST(ABS(B123),17,1)</f>
        <v>1.5202445772086767E-3</v>
      </c>
    </row>
    <row r="125" spans="1:7">
      <c r="A125" s="1"/>
    </row>
    <row r="126" spans="1:7">
      <c r="A126" s="5" t="s">
        <v>137</v>
      </c>
    </row>
    <row r="127" spans="1:7">
      <c r="A127" s="4" t="s">
        <v>7</v>
      </c>
      <c r="B127" s="3" t="s">
        <v>8</v>
      </c>
      <c r="C127" s="3" t="s">
        <v>9</v>
      </c>
      <c r="D127" s="3" t="s">
        <v>10</v>
      </c>
      <c r="E127" s="3" t="s">
        <v>11</v>
      </c>
      <c r="F127" s="3" t="s">
        <v>12</v>
      </c>
      <c r="G127" s="3" t="s">
        <v>13</v>
      </c>
    </row>
    <row r="128" spans="1:7">
      <c r="A128" s="1" t="s">
        <v>1592</v>
      </c>
      <c r="B128">
        <v>354.90500776981298</v>
      </c>
      <c r="C128">
        <v>323.949093713845</v>
      </c>
      <c r="D128">
        <v>329.8762963888542</v>
      </c>
    </row>
    <row r="129" spans="1:7">
      <c r="A129" s="1" t="s">
        <v>1594</v>
      </c>
      <c r="B129">
        <v>329.81035904354997</v>
      </c>
      <c r="C129">
        <v>327.48538011695905</v>
      </c>
      <c r="D129" t="e">
        <f>NA()</f>
        <v>#N/A</v>
      </c>
      <c r="G129" t="s">
        <v>17</v>
      </c>
    </row>
    <row r="130" spans="1:7">
      <c r="A130" s="1" t="s">
        <v>1596</v>
      </c>
      <c r="B130">
        <v>328.95556607770334</v>
      </c>
      <c r="C130">
        <v>304.52988199467075</v>
      </c>
      <c r="D130">
        <v>304.41400304414003</v>
      </c>
    </row>
    <row r="131" spans="1:7">
      <c r="A131" s="1" t="s">
        <v>1598</v>
      </c>
      <c r="B131">
        <v>320.977639521973</v>
      </c>
      <c r="C131">
        <v>299.10269192422732</v>
      </c>
      <c r="D131">
        <v>299.43855271366186</v>
      </c>
    </row>
    <row r="132" spans="1:7">
      <c r="A132" s="1" t="s">
        <v>1201</v>
      </c>
      <c r="B132">
        <v>358.45476603875909</v>
      </c>
      <c r="C132">
        <v>344.22549264155651</v>
      </c>
      <c r="D132">
        <v>325.87611534979959</v>
      </c>
    </row>
    <row r="133" spans="1:7">
      <c r="A133" s="1" t="s">
        <v>1203</v>
      </c>
      <c r="B133">
        <v>364.96323703401708</v>
      </c>
      <c r="C133">
        <v>378.4570596797671</v>
      </c>
      <c r="D133">
        <v>337.77995349406439</v>
      </c>
    </row>
    <row r="134" spans="1:7">
      <c r="A134" s="1" t="s">
        <v>1225</v>
      </c>
      <c r="B134">
        <v>350.98245087745613</v>
      </c>
      <c r="C134">
        <v>324.07407407407408</v>
      </c>
      <c r="D134">
        <v>314.63030938647091</v>
      </c>
    </row>
    <row r="135" spans="1:7">
      <c r="A135" s="1" t="s">
        <v>1226</v>
      </c>
      <c r="B135">
        <v>334.53047693196373</v>
      </c>
      <c r="C135">
        <v>280.85735402808575</v>
      </c>
      <c r="D135">
        <v>303.030303030303</v>
      </c>
    </row>
    <row r="136" spans="1:7">
      <c r="A136" s="1" t="s">
        <v>1600</v>
      </c>
      <c r="B136">
        <v>336.75217920381453</v>
      </c>
      <c r="C136">
        <v>307.88026878436165</v>
      </c>
      <c r="D136">
        <v>311.32852563630985</v>
      </c>
    </row>
    <row r="137" spans="1:7">
      <c r="A137" s="1" t="s">
        <v>1603</v>
      </c>
      <c r="B137">
        <v>279.92374836961977</v>
      </c>
      <c r="C137">
        <v>278.60183154907776</v>
      </c>
      <c r="D137">
        <v>281.89910979228483</v>
      </c>
    </row>
    <row r="138" spans="1:7">
      <c r="A138" s="1" t="s">
        <v>1372</v>
      </c>
      <c r="B138">
        <v>299.32651534048392</v>
      </c>
      <c r="C138">
        <v>274.5995423340961</v>
      </c>
      <c r="D138">
        <v>266.91089886170357</v>
      </c>
    </row>
    <row r="139" spans="1:7">
      <c r="A139" s="1" t="s">
        <v>1442</v>
      </c>
      <c r="B139">
        <v>300.48859333511137</v>
      </c>
      <c r="C139">
        <v>297.50836742283377</v>
      </c>
      <c r="D139">
        <v>286.32424965465276</v>
      </c>
    </row>
    <row r="140" spans="1:7">
      <c r="A140" s="1" t="s">
        <v>596</v>
      </c>
      <c r="B140">
        <v>278.51260294484655</v>
      </c>
      <c r="C140">
        <v>265.81343834604974</v>
      </c>
      <c r="D140">
        <v>257.97205302758869</v>
      </c>
    </row>
    <row r="141" spans="1:7">
      <c r="A141" s="1" t="s">
        <v>833</v>
      </c>
      <c r="B141">
        <v>269.45201332122315</v>
      </c>
      <c r="C141">
        <v>274.20324714371617</v>
      </c>
      <c r="D141">
        <v>255.47902316844082</v>
      </c>
    </row>
    <row r="142" spans="1:7">
      <c r="A142" s="1" t="s">
        <v>1328</v>
      </c>
      <c r="B142">
        <v>293.90448104366078</v>
      </c>
      <c r="C142">
        <v>282.28302587594402</v>
      </c>
      <c r="D142">
        <v>258.71361839741286</v>
      </c>
    </row>
    <row r="143" spans="1:7">
      <c r="A143" s="1" t="s">
        <v>1451</v>
      </c>
      <c r="B143">
        <v>281.0234435337203</v>
      </c>
      <c r="C143">
        <v>270.88036117381489</v>
      </c>
      <c r="D143">
        <v>267.69116371297554</v>
      </c>
    </row>
    <row r="144" spans="1:7">
      <c r="A144" t="s">
        <v>1604</v>
      </c>
      <c r="B144">
        <v>375.46338299859184</v>
      </c>
      <c r="C144">
        <v>291.26213592233006</v>
      </c>
      <c r="D144">
        <v>257.64081838848193</v>
      </c>
    </row>
    <row r="145" spans="1:7">
      <c r="A145" t="s">
        <v>1605</v>
      </c>
      <c r="B145">
        <v>345.44043655660971</v>
      </c>
      <c r="C145">
        <v>304.22106730891113</v>
      </c>
      <c r="D145">
        <v>251.66543301258326</v>
      </c>
    </row>
    <row r="147" spans="1:7">
      <c r="A147" s="3" t="s">
        <v>18</v>
      </c>
      <c r="B147">
        <v>17</v>
      </c>
    </row>
    <row r="148" spans="1:7">
      <c r="A148" s="4" t="s">
        <v>191</v>
      </c>
      <c r="B148">
        <v>12</v>
      </c>
    </row>
    <row r="149" spans="1:7">
      <c r="A149" s="4" t="s">
        <v>192</v>
      </c>
      <c r="B149">
        <v>5</v>
      </c>
    </row>
    <row r="150" spans="1:7">
      <c r="A150" s="6" t="s">
        <v>193</v>
      </c>
      <c r="B150">
        <v>70.588235294117652</v>
      </c>
    </row>
    <row r="151" spans="1:7">
      <c r="A151" s="1"/>
    </row>
    <row r="152" spans="1:7">
      <c r="A152" s="4" t="s">
        <v>19</v>
      </c>
      <c r="B152">
        <v>11.281088638684334</v>
      </c>
    </row>
    <row r="153" spans="1:7">
      <c r="A153" s="1" t="s">
        <v>20</v>
      </c>
      <c r="B153">
        <v>345.07252337597981</v>
      </c>
    </row>
    <row r="154" spans="1:7">
      <c r="A154" s="1" t="s">
        <v>23</v>
      </c>
      <c r="B154">
        <v>18.57612778207503</v>
      </c>
    </row>
    <row r="155" spans="1:7">
      <c r="A155" s="1" t="s">
        <v>24</v>
      </c>
      <c r="B155">
        <v>4.5053727623803574</v>
      </c>
    </row>
    <row r="156" spans="1:7">
      <c r="A156" t="s">
        <v>21</v>
      </c>
      <c r="B156">
        <v>2.5039190392592761</v>
      </c>
    </row>
    <row r="157" spans="1:7">
      <c r="A157" s="3" t="s">
        <v>22</v>
      </c>
      <c r="B157">
        <f>TDIST(ABS(B156),16,1)</f>
        <v>1.1744130648001918E-2</v>
      </c>
    </row>
    <row r="159" spans="1:7">
      <c r="A159" s="2" t="s">
        <v>1821</v>
      </c>
    </row>
    <row r="160" spans="1:7">
      <c r="A160" s="4" t="s">
        <v>7</v>
      </c>
      <c r="B160" s="3" t="s">
        <v>8</v>
      </c>
      <c r="C160" s="3" t="s">
        <v>9</v>
      </c>
      <c r="D160" s="3" t="s">
        <v>10</v>
      </c>
      <c r="E160" s="3" t="s">
        <v>11</v>
      </c>
      <c r="F160" s="3" t="s">
        <v>12</v>
      </c>
      <c r="G160" s="3" t="s">
        <v>13</v>
      </c>
    </row>
    <row r="161" spans="1:6">
      <c r="A161" s="1" t="s">
        <v>1593</v>
      </c>
      <c r="B161">
        <v>353.66542705025364</v>
      </c>
      <c r="C161">
        <v>325.44378698224853</v>
      </c>
      <c r="D161">
        <v>309.99741668819428</v>
      </c>
    </row>
    <row r="162" spans="1:6">
      <c r="A162" s="1" t="s">
        <v>1595</v>
      </c>
      <c r="B162">
        <v>358.27687926312456</v>
      </c>
      <c r="C162">
        <v>304.60718365274784</v>
      </c>
      <c r="D162">
        <v>300.60120240480961</v>
      </c>
    </row>
    <row r="163" spans="1:6">
      <c r="A163" s="1" t="s">
        <v>1597</v>
      </c>
      <c r="B163">
        <v>328.29287703939514</v>
      </c>
      <c r="C163">
        <v>302.00075500188746</v>
      </c>
      <c r="D163">
        <v>297.02970297029702</v>
      </c>
    </row>
    <row r="164" spans="1:6">
      <c r="A164" s="1" t="s">
        <v>1599</v>
      </c>
      <c r="B164">
        <v>321.27308211980181</v>
      </c>
      <c r="C164">
        <v>301.81086519114689</v>
      </c>
      <c r="D164">
        <v>298.07818015426852</v>
      </c>
    </row>
    <row r="165" spans="1:6">
      <c r="A165" s="1" t="s">
        <v>1202</v>
      </c>
      <c r="B165">
        <v>377.0385516931824</v>
      </c>
      <c r="C165">
        <v>340.23668639053255</v>
      </c>
      <c r="D165">
        <v>309.69644832247758</v>
      </c>
    </row>
    <row r="166" spans="1:6">
      <c r="A166" s="1" t="s">
        <v>1204</v>
      </c>
      <c r="B166">
        <v>406.27653638061958</v>
      </c>
      <c r="C166">
        <v>300.86498683715678</v>
      </c>
      <c r="D166">
        <v>313.31592689295036</v>
      </c>
    </row>
    <row r="167" spans="1:6">
      <c r="A167" t="s">
        <v>1227</v>
      </c>
      <c r="B167">
        <v>328.36583692933777</v>
      </c>
      <c r="C167">
        <v>279.50310559006209</v>
      </c>
      <c r="D167">
        <v>304.10542321338062</v>
      </c>
    </row>
    <row r="168" spans="1:6">
      <c r="A168" t="s">
        <v>1228</v>
      </c>
      <c r="B168">
        <v>290.57140717441774</v>
      </c>
      <c r="C168">
        <v>290.29793735676088</v>
      </c>
      <c r="D168">
        <v>296.95233133628545</v>
      </c>
    </row>
    <row r="169" spans="1:6">
      <c r="A169" t="s">
        <v>1601</v>
      </c>
      <c r="B169">
        <v>324.4461134059332</v>
      </c>
      <c r="C169">
        <v>306.75593426658554</v>
      </c>
      <c r="D169">
        <v>293.72169869049077</v>
      </c>
    </row>
    <row r="170" spans="1:6">
      <c r="A170" t="s">
        <v>1602</v>
      </c>
      <c r="B170">
        <v>338.13022038844724</v>
      </c>
      <c r="C170">
        <v>302.15283897771627</v>
      </c>
      <c r="D170">
        <v>283.19463420693086</v>
      </c>
    </row>
    <row r="171" spans="1:6">
      <c r="A171" s="1" t="s">
        <v>1441</v>
      </c>
      <c r="B171">
        <v>280.34941301362932</v>
      </c>
      <c r="C171">
        <v>293.82616497107676</v>
      </c>
      <c r="D171">
        <v>265.79804560260584</v>
      </c>
    </row>
    <row r="172" spans="1:6">
      <c r="A172" s="1" t="s">
        <v>1443</v>
      </c>
      <c r="B172">
        <v>317.76167874094426</v>
      </c>
      <c r="C172">
        <v>305.32962932769789</v>
      </c>
      <c r="D172">
        <v>279.17797595967426</v>
      </c>
    </row>
    <row r="173" spans="1:6">
      <c r="A173" s="1" t="s">
        <v>831</v>
      </c>
      <c r="B173">
        <v>274.46878177968881</v>
      </c>
      <c r="C173">
        <v>279.03371657408604</v>
      </c>
      <c r="D173">
        <v>257.31584258324926</v>
      </c>
    </row>
    <row r="174" spans="1:6">
      <c r="A174" s="1" t="s">
        <v>832</v>
      </c>
      <c r="B174">
        <v>290.36415646016496</v>
      </c>
      <c r="C174">
        <v>278.38638999871119</v>
      </c>
      <c r="D174">
        <v>256.86225132208511</v>
      </c>
    </row>
    <row r="175" spans="1:6">
      <c r="A175" s="1" t="s">
        <v>1448</v>
      </c>
      <c r="B175">
        <v>309.40996820787547</v>
      </c>
      <c r="C175" t="e">
        <f>NA()</f>
        <v>#N/A</v>
      </c>
      <c r="D175">
        <v>263.90685640362227</v>
      </c>
      <c r="F175" t="s">
        <v>29</v>
      </c>
    </row>
    <row r="176" spans="1:6">
      <c r="A176" s="1" t="s">
        <v>1331</v>
      </c>
      <c r="B176">
        <v>285.86474084104418</v>
      </c>
      <c r="C176">
        <v>267.75167344795904</v>
      </c>
      <c r="D176">
        <v>224.35497943412688</v>
      </c>
    </row>
    <row r="177" spans="1:4">
      <c r="A177" s="1" t="s">
        <v>1606</v>
      </c>
      <c r="B177">
        <v>359.78404326228872</v>
      </c>
      <c r="C177">
        <v>272.69284181290243</v>
      </c>
      <c r="D177">
        <v>283.26500186358555</v>
      </c>
    </row>
    <row r="178" spans="1:4">
      <c r="A178" s="1" t="s">
        <v>1607</v>
      </c>
      <c r="B178">
        <v>346.49860647299573</v>
      </c>
      <c r="C178">
        <v>298.84198729921553</v>
      </c>
      <c r="D178">
        <v>287.95150290477392</v>
      </c>
    </row>
    <row r="179" spans="1:4">
      <c r="A179" s="1"/>
    </row>
    <row r="180" spans="1:4">
      <c r="A180" s="4" t="s">
        <v>18</v>
      </c>
      <c r="B180">
        <v>17</v>
      </c>
    </row>
    <row r="181" spans="1:4">
      <c r="A181" s="4" t="s">
        <v>191</v>
      </c>
      <c r="B181">
        <v>13</v>
      </c>
    </row>
    <row r="182" spans="1:4">
      <c r="A182" s="4" t="s">
        <v>192</v>
      </c>
      <c r="B182">
        <v>4</v>
      </c>
    </row>
    <row r="183" spans="1:4">
      <c r="A183" s="6" t="s">
        <v>193</v>
      </c>
      <c r="B183">
        <v>76.470588235294116</v>
      </c>
    </row>
    <row r="184" spans="1:4">
      <c r="A184" s="1"/>
    </row>
    <row r="185" spans="1:4">
      <c r="A185" s="4" t="s">
        <v>19</v>
      </c>
      <c r="B185">
        <v>11.065759948723992</v>
      </c>
    </row>
    <row r="186" spans="1:4">
      <c r="A186" s="1" t="s">
        <v>20</v>
      </c>
      <c r="B186">
        <v>312.26824897761713</v>
      </c>
    </row>
    <row r="187" spans="1:4">
      <c r="A187" t="s">
        <v>23</v>
      </c>
      <c r="B187">
        <v>17.671113405148446</v>
      </c>
    </row>
    <row r="188" spans="1:4">
      <c r="A188" t="s">
        <v>24</v>
      </c>
      <c r="B188">
        <v>4.2858745348056004</v>
      </c>
    </row>
    <row r="189" spans="1:4">
      <c r="A189" t="s">
        <v>21</v>
      </c>
      <c r="B189">
        <v>2.5819141131778172</v>
      </c>
    </row>
    <row r="190" spans="1:4">
      <c r="A190" s="3" t="s">
        <v>22</v>
      </c>
      <c r="B190">
        <f>TDIST(ABS(B189),16,1)</f>
        <v>1.003195226819849E-2</v>
      </c>
    </row>
    <row r="191" spans="1:4">
      <c r="A191" s="1"/>
    </row>
    <row r="192" spans="1:4">
      <c r="A192" s="5" t="s">
        <v>138</v>
      </c>
    </row>
    <row r="193" spans="1:7">
      <c r="A193" s="4" t="s">
        <v>7</v>
      </c>
      <c r="B193" s="3" t="s">
        <v>8</v>
      </c>
      <c r="C193" s="3" t="s">
        <v>9</v>
      </c>
      <c r="D193" s="3" t="s">
        <v>10</v>
      </c>
      <c r="E193" s="3" t="s">
        <v>11</v>
      </c>
      <c r="F193" s="3" t="s">
        <v>12</v>
      </c>
      <c r="G193" s="3" t="s">
        <v>13</v>
      </c>
    </row>
    <row r="194" spans="1:7">
      <c r="A194" s="1" t="s">
        <v>1608</v>
      </c>
      <c r="B194">
        <v>346.20305561827348</v>
      </c>
      <c r="C194">
        <v>334.38885370487651</v>
      </c>
      <c r="D194">
        <v>294.84029484029486</v>
      </c>
    </row>
    <row r="195" spans="1:7">
      <c r="A195" s="1" t="s">
        <v>1609</v>
      </c>
      <c r="B195">
        <v>307.76193708983931</v>
      </c>
      <c r="C195">
        <v>306.94275274056031</v>
      </c>
      <c r="D195">
        <v>297.28725380899294</v>
      </c>
    </row>
    <row r="196" spans="1:7">
      <c r="A196" s="1" t="s">
        <v>1213</v>
      </c>
      <c r="B196" t="e">
        <f>NA()</f>
        <v>#N/A</v>
      </c>
      <c r="C196">
        <v>350.43169121381413</v>
      </c>
      <c r="D196">
        <v>306.12244897959187</v>
      </c>
      <c r="E196" t="s">
        <v>146</v>
      </c>
    </row>
    <row r="197" spans="1:7">
      <c r="A197" s="1" t="s">
        <v>1216</v>
      </c>
      <c r="B197">
        <v>351.11411208642812</v>
      </c>
      <c r="C197">
        <v>325.28720795146512</v>
      </c>
      <c r="D197">
        <v>312.5</v>
      </c>
    </row>
    <row r="198" spans="1:7">
      <c r="A198" s="1" t="s">
        <v>1612</v>
      </c>
      <c r="B198">
        <v>330.66132264529057</v>
      </c>
      <c r="C198">
        <v>263.94100142321128</v>
      </c>
      <c r="D198">
        <v>255.76730190571718</v>
      </c>
    </row>
    <row r="199" spans="1:7">
      <c r="A199" s="1" t="s">
        <v>1615</v>
      </c>
      <c r="B199">
        <v>309.20098063741432</v>
      </c>
      <c r="C199">
        <v>268.05658972449737</v>
      </c>
      <c r="D199">
        <v>264.4142489900845</v>
      </c>
    </row>
    <row r="200" spans="1:7">
      <c r="A200" s="1"/>
    </row>
    <row r="201" spans="1:7">
      <c r="A201" s="4" t="s">
        <v>18</v>
      </c>
      <c r="B201">
        <v>6</v>
      </c>
    </row>
    <row r="202" spans="1:7">
      <c r="A202" s="4" t="s">
        <v>191</v>
      </c>
      <c r="B202">
        <v>6</v>
      </c>
    </row>
    <row r="203" spans="1:7">
      <c r="A203" s="4" t="s">
        <v>192</v>
      </c>
      <c r="B203">
        <v>0</v>
      </c>
    </row>
    <row r="204" spans="1:7">
      <c r="A204" s="6" t="s">
        <v>193</v>
      </c>
      <c r="B204">
        <v>100</v>
      </c>
    </row>
    <row r="205" spans="1:7">
      <c r="A205" s="1"/>
    </row>
    <row r="206" spans="1:7">
      <c r="A206" s="3" t="s">
        <v>19</v>
      </c>
      <c r="B206">
        <v>19.686091372290562</v>
      </c>
    </row>
    <row r="207" spans="1:7">
      <c r="A207" t="s">
        <v>20</v>
      </c>
      <c r="B207">
        <v>307.79233023331733</v>
      </c>
    </row>
    <row r="208" spans="1:7">
      <c r="A208" t="s">
        <v>23</v>
      </c>
      <c r="B208">
        <v>17.544011235556063</v>
      </c>
    </row>
    <row r="209" spans="1:7">
      <c r="A209" t="s">
        <v>24</v>
      </c>
      <c r="B209">
        <v>7.1623125947945674</v>
      </c>
    </row>
    <row r="210" spans="1:7">
      <c r="A210" s="1" t="s">
        <v>21</v>
      </c>
      <c r="B210">
        <v>2.7485663480532865</v>
      </c>
    </row>
    <row r="211" spans="1:7">
      <c r="A211" s="4" t="s">
        <v>22</v>
      </c>
      <c r="B211">
        <f>TDIST(ABS(B210),5,1)</f>
        <v>2.0189456642340904E-2</v>
      </c>
    </row>
    <row r="212" spans="1:7">
      <c r="A212" s="1"/>
    </row>
    <row r="213" spans="1:7">
      <c r="A213" s="5" t="s">
        <v>1878</v>
      </c>
    </row>
    <row r="214" spans="1:7">
      <c r="A214" s="4" t="s">
        <v>7</v>
      </c>
      <c r="B214" s="3" t="s">
        <v>8</v>
      </c>
      <c r="C214" s="3" t="s">
        <v>9</v>
      </c>
      <c r="D214" s="3" t="s">
        <v>10</v>
      </c>
      <c r="E214" s="3" t="s">
        <v>11</v>
      </c>
      <c r="F214" s="3" t="s">
        <v>12</v>
      </c>
      <c r="G214" s="3" t="s">
        <v>13</v>
      </c>
    </row>
    <row r="215" spans="1:7">
      <c r="A215" s="1" t="s">
        <v>1610</v>
      </c>
      <c r="B215">
        <v>317.71405734838646</v>
      </c>
      <c r="C215">
        <v>304.20086914534039</v>
      </c>
      <c r="D215">
        <v>308.44364477573572</v>
      </c>
    </row>
    <row r="216" spans="1:7">
      <c r="A216" s="1" t="s">
        <v>1611</v>
      </c>
      <c r="B216">
        <v>348.36578407327693</v>
      </c>
      <c r="C216">
        <v>302.6863412788498</v>
      </c>
      <c r="D216">
        <v>309.12659470068695</v>
      </c>
    </row>
    <row r="217" spans="1:7">
      <c r="A217" s="1" t="s">
        <v>1214</v>
      </c>
      <c r="B217">
        <v>355.33064778442213</v>
      </c>
      <c r="C217">
        <v>309.77258758451137</v>
      </c>
      <c r="D217">
        <v>306.56934306569343</v>
      </c>
    </row>
    <row r="218" spans="1:7">
      <c r="A218" t="s">
        <v>1215</v>
      </c>
      <c r="B218">
        <v>340.14318737672403</v>
      </c>
      <c r="C218">
        <v>312.46125232486054</v>
      </c>
      <c r="D218">
        <v>301.46966461499812</v>
      </c>
    </row>
    <row r="219" spans="1:7">
      <c r="A219" t="s">
        <v>1613</v>
      </c>
      <c r="B219">
        <v>307.0593547739702</v>
      </c>
      <c r="C219">
        <v>268.89082534545003</v>
      </c>
      <c r="D219">
        <v>266.50215916101172</v>
      </c>
    </row>
    <row r="220" spans="1:7">
      <c r="A220" t="s">
        <v>1614</v>
      </c>
      <c r="B220">
        <v>278.73520155851941</v>
      </c>
      <c r="C220">
        <v>264.25250795204306</v>
      </c>
      <c r="D220">
        <v>266.17375231053603</v>
      </c>
    </row>
    <row r="222" spans="1:7">
      <c r="A222" s="4" t="s">
        <v>18</v>
      </c>
      <c r="B222">
        <v>6</v>
      </c>
    </row>
    <row r="223" spans="1:7">
      <c r="A223" s="4" t="s">
        <v>191</v>
      </c>
      <c r="B223">
        <v>3</v>
      </c>
    </row>
    <row r="224" spans="1:7">
      <c r="A224" s="4" t="s">
        <v>192</v>
      </c>
      <c r="B224">
        <v>3</v>
      </c>
    </row>
    <row r="225" spans="1:7">
      <c r="A225" s="6" t="s">
        <v>193</v>
      </c>
      <c r="B225">
        <v>50</v>
      </c>
    </row>
    <row r="226" spans="1:7">
      <c r="A226" s="1"/>
    </row>
    <row r="227" spans="1:7">
      <c r="A227" s="4" t="s">
        <v>19</v>
      </c>
      <c r="B227">
        <v>0.66320416706553464</v>
      </c>
    </row>
    <row r="228" spans="1:7">
      <c r="A228" s="1" t="s">
        <v>20</v>
      </c>
      <c r="B228">
        <v>39.462330488147785</v>
      </c>
    </row>
    <row r="229" spans="1:7">
      <c r="A229" t="s">
        <v>23</v>
      </c>
      <c r="B229">
        <v>6.2819050047058003</v>
      </c>
    </row>
    <row r="230" spans="1:7">
      <c r="A230" t="s">
        <v>24</v>
      </c>
      <c r="B230">
        <v>2.5645769790275286</v>
      </c>
    </row>
    <row r="231" spans="1:7">
      <c r="A231" t="s">
        <v>21</v>
      </c>
      <c r="B231">
        <v>0.25860177818371338</v>
      </c>
    </row>
    <row r="232" spans="1:7">
      <c r="A232" s="3" t="s">
        <v>22</v>
      </c>
      <c r="B232">
        <f>TDIST(ABS(B231),5,1)</f>
        <v>0.40312527288479799</v>
      </c>
    </row>
    <row r="233" spans="1:7">
      <c r="A233" s="1"/>
    </row>
    <row r="234" spans="1:7">
      <c r="A234" s="5" t="s">
        <v>139</v>
      </c>
    </row>
    <row r="235" spans="1:7">
      <c r="A235" s="4" t="s">
        <v>7</v>
      </c>
      <c r="B235" s="3" t="s">
        <v>8</v>
      </c>
      <c r="C235" s="3" t="s">
        <v>9</v>
      </c>
      <c r="D235" s="3" t="s">
        <v>10</v>
      </c>
      <c r="E235" s="3" t="s">
        <v>11</v>
      </c>
      <c r="F235" s="3" t="s">
        <v>12</v>
      </c>
      <c r="G235" s="3" t="s">
        <v>13</v>
      </c>
    </row>
    <row r="236" spans="1:7">
      <c r="A236" s="1" t="s">
        <v>1616</v>
      </c>
      <c r="B236">
        <v>315.78163402100245</v>
      </c>
      <c r="C236">
        <v>285.85757271815447</v>
      </c>
      <c r="D236">
        <v>295.53010712966386</v>
      </c>
    </row>
    <row r="237" spans="1:7">
      <c r="A237" s="1" t="s">
        <v>1617</v>
      </c>
      <c r="B237">
        <v>315.63916931786866</v>
      </c>
      <c r="C237">
        <v>299.58806640868806</v>
      </c>
      <c r="D237">
        <v>289.3033878949372</v>
      </c>
    </row>
    <row r="238" spans="1:7">
      <c r="A238" s="1" t="s">
        <v>1277</v>
      </c>
      <c r="B238">
        <v>332.94104117051859</v>
      </c>
      <c r="C238">
        <v>283.89988793425476</v>
      </c>
      <c r="D238">
        <v>285.70501405292583</v>
      </c>
    </row>
    <row r="239" spans="1:7">
      <c r="A239" s="1" t="s">
        <v>1278</v>
      </c>
      <c r="B239">
        <v>298.23304660754479</v>
      </c>
      <c r="C239">
        <v>288.56558855356496</v>
      </c>
      <c r="D239">
        <v>306.3457330415755</v>
      </c>
    </row>
    <row r="240" spans="1:7">
      <c r="A240" s="1" t="s">
        <v>1620</v>
      </c>
      <c r="B240">
        <v>323.77410644795418</v>
      </c>
      <c r="C240">
        <v>283.08914824931708</v>
      </c>
      <c r="D240">
        <v>294.22581831555721</v>
      </c>
    </row>
    <row r="241" spans="1:5">
      <c r="A241" t="s">
        <v>1622</v>
      </c>
      <c r="B241" t="e">
        <f>NA()</f>
        <v>#N/A</v>
      </c>
      <c r="C241">
        <v>286.2882973380211</v>
      </c>
      <c r="D241">
        <v>289.49440290152728</v>
      </c>
      <c r="E241" t="s">
        <v>148</v>
      </c>
    </row>
    <row r="242" spans="1:5">
      <c r="A242" t="s">
        <v>1376</v>
      </c>
      <c r="B242">
        <v>262.23907965135265</v>
      </c>
      <c r="C242">
        <v>264.52282157676348</v>
      </c>
      <c r="D242">
        <v>255.89563472152534</v>
      </c>
    </row>
    <row r="243" spans="1:5">
      <c r="A243" t="s">
        <v>1379</v>
      </c>
      <c r="B243">
        <v>285.22104631089093</v>
      </c>
      <c r="C243">
        <v>300.4865306749</v>
      </c>
      <c r="D243">
        <v>281.09974109234378</v>
      </c>
    </row>
    <row r="244" spans="1:5">
      <c r="A244" t="s">
        <v>604</v>
      </c>
      <c r="B244" t="e">
        <f>NA()</f>
        <v>#N/A</v>
      </c>
      <c r="C244">
        <v>257.44573447753658</v>
      </c>
      <c r="D244">
        <v>249.18883841661255</v>
      </c>
      <c r="E244" t="s">
        <v>149</v>
      </c>
    </row>
    <row r="245" spans="1:5">
      <c r="A245" s="1" t="s">
        <v>837</v>
      </c>
      <c r="B245">
        <v>250.66297622547151</v>
      </c>
      <c r="C245">
        <v>276.21483375959082</v>
      </c>
      <c r="D245">
        <v>251.63439003330456</v>
      </c>
    </row>
    <row r="246" spans="1:5">
      <c r="A246" s="1" t="s">
        <v>1336</v>
      </c>
      <c r="B246">
        <v>252.23331581713083</v>
      </c>
      <c r="C246">
        <v>259.93883792048928</v>
      </c>
      <c r="D246">
        <v>251.72694132473083</v>
      </c>
    </row>
    <row r="247" spans="1:5">
      <c r="A247" s="1" t="s">
        <v>1337</v>
      </c>
      <c r="B247">
        <v>291.08732619785934</v>
      </c>
      <c r="C247">
        <v>276.76620538965767</v>
      </c>
      <c r="D247">
        <v>254.14226983929237</v>
      </c>
    </row>
    <row r="248" spans="1:5">
      <c r="A248" s="1" t="s">
        <v>1624</v>
      </c>
      <c r="B248">
        <v>346.89927352253585</v>
      </c>
      <c r="C248">
        <v>318.18181818181819</v>
      </c>
      <c r="D248">
        <v>277.10070558050029</v>
      </c>
    </row>
    <row r="249" spans="1:5">
      <c r="A249" s="1" t="s">
        <v>1627</v>
      </c>
      <c r="B249">
        <v>328.94736842105266</v>
      </c>
      <c r="C249">
        <v>273.6109444377775</v>
      </c>
      <c r="D249">
        <v>270.0337542192774</v>
      </c>
    </row>
    <row r="250" spans="1:5">
      <c r="A250" s="1"/>
    </row>
    <row r="251" spans="1:5">
      <c r="A251" s="4" t="s">
        <v>18</v>
      </c>
      <c r="B251">
        <v>14</v>
      </c>
    </row>
    <row r="252" spans="1:5">
      <c r="A252" s="4" t="s">
        <v>191</v>
      </c>
      <c r="B252">
        <v>9</v>
      </c>
    </row>
    <row r="253" spans="1:5">
      <c r="A253" s="4" t="s">
        <v>192</v>
      </c>
      <c r="B253">
        <v>5</v>
      </c>
    </row>
    <row r="254" spans="1:5">
      <c r="A254" s="6" t="s">
        <v>193</v>
      </c>
      <c r="B254">
        <v>64.285714285714292</v>
      </c>
    </row>
    <row r="256" spans="1:5">
      <c r="A256" s="3" t="s">
        <v>19</v>
      </c>
      <c r="B256">
        <v>7.3592535040542817</v>
      </c>
    </row>
    <row r="257" spans="1:7">
      <c r="A257" t="s">
        <v>20</v>
      </c>
      <c r="B257">
        <v>253.63006408668929</v>
      </c>
    </row>
    <row r="258" spans="1:7">
      <c r="A258" t="s">
        <v>23</v>
      </c>
      <c r="B258">
        <v>15.925767299778347</v>
      </c>
    </row>
    <row r="259" spans="1:7">
      <c r="A259" s="1" t="s">
        <v>24</v>
      </c>
      <c r="B259">
        <v>4.2563403469470389</v>
      </c>
    </row>
    <row r="260" spans="1:7">
      <c r="A260" s="1" t="s">
        <v>21</v>
      </c>
      <c r="B260">
        <v>1.7290096430688116</v>
      </c>
    </row>
    <row r="261" spans="1:7">
      <c r="A261" s="4" t="s">
        <v>22</v>
      </c>
      <c r="B261">
        <f>TDIST(ABS(B260),13,1)</f>
        <v>5.3732618058751742E-2</v>
      </c>
    </row>
    <row r="262" spans="1:7">
      <c r="A262" s="1"/>
    </row>
    <row r="263" spans="1:7">
      <c r="A263" s="5" t="s">
        <v>1824</v>
      </c>
    </row>
    <row r="264" spans="1:7">
      <c r="A264" s="4" t="s">
        <v>7</v>
      </c>
      <c r="B264" s="3" t="s">
        <v>8</v>
      </c>
      <c r="C264" s="3" t="s">
        <v>9</v>
      </c>
      <c r="D264" s="3" t="s">
        <v>10</v>
      </c>
      <c r="E264" s="3" t="s">
        <v>11</v>
      </c>
      <c r="F264" s="3" t="s">
        <v>12</v>
      </c>
      <c r="G264" s="3" t="s">
        <v>13</v>
      </c>
    </row>
    <row r="265" spans="1:7">
      <c r="A265" s="1" t="s">
        <v>1618</v>
      </c>
      <c r="B265">
        <v>301.99586375302118</v>
      </c>
      <c r="C265">
        <v>275.29951567677796</v>
      </c>
      <c r="D265">
        <v>275.01909854851033</v>
      </c>
    </row>
    <row r="266" spans="1:7">
      <c r="A266" s="1" t="s">
        <v>1619</v>
      </c>
      <c r="B266">
        <v>308.7607104494017</v>
      </c>
      <c r="C266">
        <v>278.25237979009029</v>
      </c>
      <c r="D266">
        <v>290.77923734217569</v>
      </c>
    </row>
    <row r="267" spans="1:7">
      <c r="A267" s="1" t="s">
        <v>1279</v>
      </c>
      <c r="B267">
        <v>311.80512179887569</v>
      </c>
      <c r="C267">
        <v>284.77105231712727</v>
      </c>
      <c r="D267">
        <v>306.18597579061412</v>
      </c>
    </row>
    <row r="268" spans="1:7">
      <c r="A268" s="1" t="s">
        <v>1280</v>
      </c>
      <c r="B268">
        <v>300.2176578019064</v>
      </c>
      <c r="C268" t="e">
        <f>NA()</f>
        <v>#N/A</v>
      </c>
      <c r="D268">
        <v>279.9015161332124</v>
      </c>
      <c r="F268" t="s">
        <v>147</v>
      </c>
    </row>
    <row r="269" spans="1:7">
      <c r="A269" s="1" t="s">
        <v>1621</v>
      </c>
      <c r="B269" t="e">
        <f>NA()</f>
        <v>#N/A</v>
      </c>
      <c r="C269">
        <v>282.56289503036311</v>
      </c>
      <c r="D269">
        <v>298.42067313283553</v>
      </c>
      <c r="E269" t="s">
        <v>42</v>
      </c>
    </row>
    <row r="270" spans="1:7">
      <c r="A270" s="1" t="s">
        <v>1623</v>
      </c>
      <c r="B270">
        <v>309.26881970535408</v>
      </c>
      <c r="C270">
        <v>285.28528528528528</v>
      </c>
      <c r="D270">
        <v>286.39618138424822</v>
      </c>
    </row>
    <row r="271" spans="1:7">
      <c r="A271" s="1" t="s">
        <v>1472</v>
      </c>
      <c r="B271">
        <v>300.24019215372294</v>
      </c>
      <c r="C271">
        <v>270.97538317484913</v>
      </c>
      <c r="D271">
        <v>257.83619817997982</v>
      </c>
    </row>
    <row r="272" spans="1:7">
      <c r="A272" s="1" t="s">
        <v>1475</v>
      </c>
      <c r="B272">
        <v>294.92902643326482</v>
      </c>
      <c r="C272">
        <v>282.1782178217822</v>
      </c>
      <c r="D272">
        <v>281.91072826938137</v>
      </c>
    </row>
    <row r="273" spans="1:5">
      <c r="A273" s="1" t="s">
        <v>606</v>
      </c>
      <c r="B273" t="e">
        <f>NA()</f>
        <v>#N/A</v>
      </c>
      <c r="C273">
        <v>259.70987613526768</v>
      </c>
      <c r="D273">
        <v>249.47645424265292</v>
      </c>
      <c r="E273" t="s">
        <v>17</v>
      </c>
    </row>
    <row r="274" spans="1:5">
      <c r="A274" t="s">
        <v>607</v>
      </c>
      <c r="B274">
        <v>288.24500825701847</v>
      </c>
      <c r="C274">
        <v>273.63185690855295</v>
      </c>
      <c r="D274">
        <v>250.3681885125184</v>
      </c>
    </row>
    <row r="275" spans="1:5">
      <c r="A275" t="s">
        <v>1457</v>
      </c>
      <c r="B275">
        <v>268.5297993485666</v>
      </c>
      <c r="C275">
        <v>260.7361963190184</v>
      </c>
      <c r="D275">
        <v>250.61425061425064</v>
      </c>
    </row>
    <row r="276" spans="1:5">
      <c r="A276" t="s">
        <v>1339</v>
      </c>
      <c r="B276">
        <v>283.44557241933865</v>
      </c>
      <c r="C276">
        <v>280.73823758773068</v>
      </c>
      <c r="D276">
        <v>263.41463414634148</v>
      </c>
    </row>
    <row r="277" spans="1:5">
      <c r="A277" t="s">
        <v>1625</v>
      </c>
      <c r="B277">
        <v>327.99673538114109</v>
      </c>
      <c r="C277">
        <v>284.50212128774643</v>
      </c>
      <c r="D277">
        <v>267.65799256505574</v>
      </c>
    </row>
    <row r="278" spans="1:5">
      <c r="A278" s="1" t="s">
        <v>1626</v>
      </c>
      <c r="B278">
        <v>309.43320648908474</v>
      </c>
      <c r="C278">
        <v>277.56360832690825</v>
      </c>
      <c r="D278">
        <v>276.09590699927344</v>
      </c>
    </row>
    <row r="279" spans="1:5">
      <c r="A279" s="1"/>
    </row>
    <row r="280" spans="1:5">
      <c r="A280" s="4" t="s">
        <v>18</v>
      </c>
      <c r="B280">
        <v>13</v>
      </c>
    </row>
    <row r="281" spans="1:5">
      <c r="A281" s="4" t="s">
        <v>191</v>
      </c>
      <c r="B281">
        <v>9</v>
      </c>
    </row>
    <row r="282" spans="1:5">
      <c r="A282" s="4" t="s">
        <v>192</v>
      </c>
      <c r="B282">
        <v>4</v>
      </c>
    </row>
    <row r="283" spans="1:5">
      <c r="A283" s="6" t="s">
        <v>193</v>
      </c>
      <c r="B283">
        <v>69.230769230769226</v>
      </c>
    </row>
    <row r="284" spans="1:5">
      <c r="A284" s="1"/>
    </row>
    <row r="285" spans="1:5">
      <c r="A285" s="4" t="s">
        <v>19</v>
      </c>
      <c r="B285">
        <v>3.2331619948970713</v>
      </c>
    </row>
    <row r="286" spans="1:5">
      <c r="A286" s="1" t="s">
        <v>20</v>
      </c>
      <c r="B286">
        <v>186.62336233121155</v>
      </c>
    </row>
    <row r="287" spans="1:5">
      <c r="A287" s="1" t="s">
        <v>23</v>
      </c>
      <c r="B287">
        <v>13.661016152951857</v>
      </c>
    </row>
    <row r="288" spans="1:5">
      <c r="A288" s="1" t="s">
        <v>24</v>
      </c>
      <c r="B288">
        <v>3.7888841703392098</v>
      </c>
    </row>
    <row r="289" spans="1:7">
      <c r="A289" s="1" t="s">
        <v>21</v>
      </c>
      <c r="B289">
        <v>0.85332827543461542</v>
      </c>
    </row>
    <row r="290" spans="1:7">
      <c r="A290" s="4" t="s">
        <v>22</v>
      </c>
      <c r="B290">
        <f>TDIST(ABS(B289),12,1)</f>
        <v>0.20509370703932173</v>
      </c>
    </row>
    <row r="291" spans="1:7">
      <c r="A291" s="1"/>
    </row>
    <row r="292" spans="1:7">
      <c r="A292" s="5" t="s">
        <v>140</v>
      </c>
    </row>
    <row r="293" spans="1:7">
      <c r="A293" s="4" t="s">
        <v>7</v>
      </c>
      <c r="B293" s="3" t="s">
        <v>8</v>
      </c>
      <c r="C293" s="3" t="s">
        <v>9</v>
      </c>
      <c r="D293" s="3" t="s">
        <v>10</v>
      </c>
      <c r="E293" s="3" t="s">
        <v>11</v>
      </c>
      <c r="F293" s="3" t="s">
        <v>12</v>
      </c>
      <c r="G293" s="3" t="s">
        <v>13</v>
      </c>
    </row>
    <row r="294" spans="1:7">
      <c r="A294" t="s">
        <v>1628</v>
      </c>
      <c r="B294">
        <v>370.27820634051665</v>
      </c>
      <c r="C294">
        <v>303.46820809248555</v>
      </c>
      <c r="D294">
        <v>293.24758842443731</v>
      </c>
    </row>
    <row r="295" spans="1:7">
      <c r="A295" t="s">
        <v>1629</v>
      </c>
      <c r="B295">
        <v>326.37458911412017</v>
      </c>
      <c r="C295">
        <v>267.12059709309938</v>
      </c>
      <c r="D295">
        <v>287.33459357277883</v>
      </c>
    </row>
    <row r="296" spans="1:7">
      <c r="A296" t="s">
        <v>1285</v>
      </c>
      <c r="B296">
        <v>315.48110869075339</v>
      </c>
      <c r="C296">
        <v>309.99741668819428</v>
      </c>
      <c r="D296">
        <v>295.20295202952025</v>
      </c>
    </row>
    <row r="297" spans="1:7">
      <c r="A297" t="s">
        <v>1288</v>
      </c>
      <c r="B297">
        <v>293.65765413955785</v>
      </c>
      <c r="C297">
        <v>302.95461468169356</v>
      </c>
      <c r="D297">
        <v>277.33852329400315</v>
      </c>
    </row>
    <row r="298" spans="1:7">
      <c r="A298" s="1" t="s">
        <v>1632</v>
      </c>
      <c r="B298">
        <v>310.54565353345839</v>
      </c>
      <c r="C298">
        <v>270.71954405129424</v>
      </c>
      <c r="D298">
        <v>267.79072650632287</v>
      </c>
    </row>
    <row r="299" spans="1:7">
      <c r="A299" s="1" t="s">
        <v>1633</v>
      </c>
      <c r="B299">
        <v>316.3841807909605</v>
      </c>
      <c r="C299">
        <v>333.95448455117088</v>
      </c>
      <c r="D299">
        <v>286.2882973380211</v>
      </c>
    </row>
    <row r="300" spans="1:7">
      <c r="A300" s="1"/>
    </row>
    <row r="301" spans="1:7">
      <c r="A301" s="4" t="s">
        <v>18</v>
      </c>
      <c r="B301">
        <v>6</v>
      </c>
    </row>
    <row r="302" spans="1:7">
      <c r="A302" s="4" t="s">
        <v>191</v>
      </c>
      <c r="B302">
        <v>5</v>
      </c>
    </row>
    <row r="303" spans="1:7">
      <c r="A303" s="4" t="s">
        <v>192</v>
      </c>
      <c r="B303">
        <v>1</v>
      </c>
    </row>
    <row r="304" spans="1:7">
      <c r="A304" s="6" t="s">
        <v>193</v>
      </c>
      <c r="B304">
        <v>83.333333333333329</v>
      </c>
    </row>
    <row r="306" spans="1:7">
      <c r="A306" s="3" t="s">
        <v>19</v>
      </c>
      <c r="B306">
        <v>13.502030665475729</v>
      </c>
    </row>
    <row r="307" spans="1:7">
      <c r="A307" t="s">
        <v>20</v>
      </c>
      <c r="B307">
        <v>514.98828514014872</v>
      </c>
    </row>
    <row r="308" spans="1:7">
      <c r="A308" s="1" t="s">
        <v>23</v>
      </c>
      <c r="B308">
        <v>22.693353325151151</v>
      </c>
    </row>
    <row r="309" spans="1:7">
      <c r="A309" s="1" t="s">
        <v>24</v>
      </c>
      <c r="B309">
        <v>9.2645226998853776</v>
      </c>
    </row>
    <row r="310" spans="1:7">
      <c r="A310" s="1" t="s">
        <v>21</v>
      </c>
      <c r="B310">
        <v>1.4573908557256574</v>
      </c>
    </row>
    <row r="311" spans="1:7">
      <c r="A311" s="4" t="s">
        <v>22</v>
      </c>
      <c r="B311">
        <f>TDIST(ABS(B310),5,1)</f>
        <v>0.1023997064710479</v>
      </c>
    </row>
    <row r="313" spans="1:7">
      <c r="A313" s="2" t="s">
        <v>1811</v>
      </c>
    </row>
    <row r="314" spans="1:7">
      <c r="A314" s="3" t="s">
        <v>7</v>
      </c>
      <c r="B314" s="3" t="s">
        <v>8</v>
      </c>
      <c r="C314" s="3" t="s">
        <v>9</v>
      </c>
      <c r="D314" s="3" t="s">
        <v>10</v>
      </c>
      <c r="E314" s="3" t="s">
        <v>11</v>
      </c>
      <c r="F314" s="3" t="s">
        <v>12</v>
      </c>
      <c r="G314" s="3" t="s">
        <v>13</v>
      </c>
    </row>
    <row r="315" spans="1:7">
      <c r="A315" t="s">
        <v>1630</v>
      </c>
      <c r="B315">
        <v>297.09655638082376</v>
      </c>
      <c r="C315">
        <v>292.34225760646626</v>
      </c>
      <c r="D315">
        <v>290.51987767584097</v>
      </c>
    </row>
    <row r="316" spans="1:7">
      <c r="A316" s="1" t="s">
        <v>1631</v>
      </c>
      <c r="B316">
        <v>301.58140138257238</v>
      </c>
      <c r="C316">
        <v>267.35982176011885</v>
      </c>
      <c r="D316">
        <v>284.82198625858842</v>
      </c>
    </row>
    <row r="317" spans="1:7">
      <c r="A317" s="1" t="s">
        <v>1286</v>
      </c>
      <c r="B317">
        <v>311.90642807157849</v>
      </c>
      <c r="C317">
        <v>289.76931805355053</v>
      </c>
      <c r="D317">
        <v>299.32651534048392</v>
      </c>
    </row>
    <row r="318" spans="1:7">
      <c r="A318" s="1" t="s">
        <v>1287</v>
      </c>
      <c r="B318">
        <v>293.90911021732524</v>
      </c>
      <c r="C318">
        <v>280.9573361082206</v>
      </c>
      <c r="D318">
        <v>291.00191448627953</v>
      </c>
    </row>
    <row r="319" spans="1:7">
      <c r="A319" s="1" t="s">
        <v>1634</v>
      </c>
      <c r="B319">
        <v>347.47010808517012</v>
      </c>
      <c r="C319">
        <v>260.0842865743528</v>
      </c>
      <c r="D319">
        <v>258.58790721257446</v>
      </c>
    </row>
    <row r="320" spans="1:7">
      <c r="A320" s="1" t="s">
        <v>1635</v>
      </c>
      <c r="B320">
        <v>288.32436491052431</v>
      </c>
      <c r="C320">
        <v>268.85735623599703</v>
      </c>
      <c r="D320">
        <v>272.04030226700252</v>
      </c>
    </row>
    <row r="321" spans="1:7">
      <c r="A321" s="1"/>
    </row>
    <row r="322" spans="1:7">
      <c r="A322" s="4" t="s">
        <v>18</v>
      </c>
      <c r="B322">
        <v>6</v>
      </c>
    </row>
    <row r="323" spans="1:7">
      <c r="A323" s="4" t="s">
        <v>191</v>
      </c>
      <c r="B323">
        <v>2</v>
      </c>
    </row>
    <row r="324" spans="1:7">
      <c r="A324" s="4" t="s">
        <v>192</v>
      </c>
      <c r="B324">
        <v>4</v>
      </c>
    </row>
    <row r="325" spans="1:7">
      <c r="A325" s="6" t="s">
        <v>193</v>
      </c>
      <c r="B325">
        <v>33.333333333333336</v>
      </c>
    </row>
    <row r="326" spans="1:7">
      <c r="A326" s="1"/>
    </row>
    <row r="327" spans="1:7">
      <c r="A327" s="4" t="s">
        <v>19</v>
      </c>
      <c r="B327">
        <v>-6.1546878170106254</v>
      </c>
    </row>
    <row r="328" spans="1:7">
      <c r="A328" s="1" t="s">
        <v>20</v>
      </c>
      <c r="B328">
        <v>57.114207247797708</v>
      </c>
    </row>
    <row r="329" spans="1:7">
      <c r="A329" s="1" t="s">
        <v>23</v>
      </c>
      <c r="B329">
        <v>7.557394210162502</v>
      </c>
    </row>
    <row r="330" spans="1:7">
      <c r="A330" s="1" t="s">
        <v>24</v>
      </c>
      <c r="B330">
        <v>3.0852932666603379</v>
      </c>
    </row>
    <row r="331" spans="1:7">
      <c r="A331" s="1" t="s">
        <v>21</v>
      </c>
      <c r="B331">
        <v>-1.9948469351416762</v>
      </c>
    </row>
    <row r="332" spans="1:7">
      <c r="A332" s="4" t="s">
        <v>22</v>
      </c>
      <c r="B332">
        <f>TDIST(ABS(B331),5,1)</f>
        <v>5.130630871775764E-2</v>
      </c>
    </row>
    <row r="334" spans="1:7">
      <c r="A334" s="2" t="s">
        <v>141</v>
      </c>
    </row>
    <row r="335" spans="1:7">
      <c r="A335" s="3" t="s">
        <v>7</v>
      </c>
      <c r="B335" s="3" t="s">
        <v>8</v>
      </c>
      <c r="C335" s="3" t="s">
        <v>9</v>
      </c>
      <c r="D335" s="3" t="s">
        <v>10</v>
      </c>
      <c r="E335" s="3" t="s">
        <v>11</v>
      </c>
      <c r="F335" s="3" t="s">
        <v>12</v>
      </c>
      <c r="G335" s="3" t="s">
        <v>13</v>
      </c>
    </row>
    <row r="336" spans="1:7">
      <c r="A336" t="s">
        <v>1636</v>
      </c>
      <c r="B336">
        <v>301.47003954928738</v>
      </c>
      <c r="C336">
        <v>267.32673267326737</v>
      </c>
      <c r="D336">
        <v>279.30907754502022</v>
      </c>
    </row>
    <row r="337" spans="1:4">
      <c r="A337" s="1" t="s">
        <v>1637</v>
      </c>
      <c r="B337">
        <v>303.77462529450094</v>
      </c>
      <c r="C337">
        <v>281.54327424400418</v>
      </c>
      <c r="D337">
        <v>287.47951078048163</v>
      </c>
    </row>
    <row r="338" spans="1:4">
      <c r="A338" s="1" t="s">
        <v>1293</v>
      </c>
      <c r="B338">
        <v>302.29715910508071</v>
      </c>
      <c r="C338">
        <v>283.79387602688575</v>
      </c>
      <c r="D338">
        <v>283.50177188607427</v>
      </c>
    </row>
    <row r="339" spans="1:4">
      <c r="A339" s="1" t="s">
        <v>1294</v>
      </c>
      <c r="B339">
        <v>308.38323353293413</v>
      </c>
      <c r="C339">
        <v>276.60391855551291</v>
      </c>
      <c r="D339">
        <v>310.96138896087069</v>
      </c>
    </row>
    <row r="340" spans="1:4">
      <c r="A340" s="1" t="s">
        <v>1352</v>
      </c>
      <c r="B340">
        <v>285.16055138553548</v>
      </c>
      <c r="C340">
        <v>282.45787908820614</v>
      </c>
      <c r="D340">
        <v>243.6693741041567</v>
      </c>
    </row>
    <row r="341" spans="1:4">
      <c r="A341" s="1" t="s">
        <v>1498</v>
      </c>
      <c r="B341">
        <v>269.68985666483542</v>
      </c>
      <c r="C341">
        <v>273.74234601993038</v>
      </c>
      <c r="D341">
        <v>268.72356307539184</v>
      </c>
    </row>
    <row r="342" spans="1:4">
      <c r="A342" s="1" t="s">
        <v>1640</v>
      </c>
      <c r="B342">
        <v>289.76029378474232</v>
      </c>
      <c r="C342">
        <v>268.957788569294</v>
      </c>
      <c r="D342">
        <v>261.94144838212634</v>
      </c>
    </row>
    <row r="343" spans="1:4">
      <c r="A343" s="1" t="s">
        <v>1642</v>
      </c>
      <c r="B343">
        <v>323.72483389119247</v>
      </c>
      <c r="C343">
        <v>277.63496143958866</v>
      </c>
      <c r="D343">
        <v>271.90332326283988</v>
      </c>
    </row>
    <row r="344" spans="1:4">
      <c r="A344" s="1"/>
    </row>
    <row r="345" spans="1:4">
      <c r="A345" s="4" t="s">
        <v>18</v>
      </c>
      <c r="B345">
        <v>8</v>
      </c>
    </row>
    <row r="346" spans="1:4">
      <c r="A346" s="4" t="s">
        <v>191</v>
      </c>
      <c r="B346">
        <v>5</v>
      </c>
    </row>
    <row r="347" spans="1:4">
      <c r="A347" s="4" t="s">
        <v>192</v>
      </c>
      <c r="B347">
        <v>3</v>
      </c>
    </row>
    <row r="348" spans="1:4">
      <c r="A348" s="6" t="s">
        <v>193</v>
      </c>
      <c r="B348">
        <v>62.5</v>
      </c>
    </row>
    <row r="349" spans="1:4">
      <c r="A349" s="1"/>
    </row>
    <row r="350" spans="1:4">
      <c r="A350" s="4" t="s">
        <v>19</v>
      </c>
      <c r="B350">
        <v>0.57141482746597927</v>
      </c>
    </row>
    <row r="351" spans="1:4">
      <c r="A351" t="s">
        <v>20</v>
      </c>
      <c r="B351">
        <v>424.07735400565861</v>
      </c>
    </row>
    <row r="352" spans="1:4">
      <c r="A352" t="s">
        <v>23</v>
      </c>
      <c r="B352">
        <v>20.593138517614516</v>
      </c>
    </row>
    <row r="353" spans="1:7">
      <c r="A353" t="s">
        <v>24</v>
      </c>
      <c r="B353">
        <v>7.280773945859556</v>
      </c>
    </row>
    <row r="354" spans="1:7">
      <c r="A354" t="s">
        <v>21</v>
      </c>
      <c r="B354">
        <v>7.8482704134899356E-2</v>
      </c>
    </row>
    <row r="355" spans="1:7">
      <c r="A355" s="4" t="s">
        <v>22</v>
      </c>
      <c r="B355">
        <f>TDIST(ABS(B354),7,1)</f>
        <v>0.46982023292995678</v>
      </c>
    </row>
    <row r="356" spans="1:7">
      <c r="A356" s="1"/>
    </row>
    <row r="357" spans="1:7">
      <c r="A357" s="2" t="s">
        <v>1788</v>
      </c>
    </row>
    <row r="358" spans="1:7">
      <c r="A358" s="3" t="s">
        <v>7</v>
      </c>
      <c r="B358" s="3" t="s">
        <v>8</v>
      </c>
      <c r="C358" s="3" t="s">
        <v>9</v>
      </c>
      <c r="D358" s="3" t="s">
        <v>10</v>
      </c>
      <c r="E358" s="3" t="s">
        <v>11</v>
      </c>
      <c r="F358" s="3" t="s">
        <v>12</v>
      </c>
      <c r="G358" s="3" t="s">
        <v>13</v>
      </c>
    </row>
    <row r="359" spans="1:7">
      <c r="A359" t="s">
        <v>1638</v>
      </c>
      <c r="B359">
        <v>334.46327683615823</v>
      </c>
      <c r="C359">
        <v>299.1399725788358</v>
      </c>
      <c r="D359">
        <v>284.57314028956563</v>
      </c>
    </row>
    <row r="360" spans="1:7">
      <c r="A360" t="s">
        <v>1639</v>
      </c>
      <c r="B360">
        <v>314.26148550905373</v>
      </c>
      <c r="C360">
        <v>266.23936891408846</v>
      </c>
      <c r="D360">
        <v>261.5719964097961</v>
      </c>
    </row>
    <row r="361" spans="1:7">
      <c r="A361" s="1" t="s">
        <v>1295</v>
      </c>
      <c r="B361">
        <v>297.7816769018674</v>
      </c>
      <c r="C361">
        <v>269.96625421822273</v>
      </c>
      <c r="D361">
        <v>270.91433588360718</v>
      </c>
    </row>
    <row r="362" spans="1:7">
      <c r="A362" s="1" t="s">
        <v>1296</v>
      </c>
      <c r="B362">
        <v>283.43132820744762</v>
      </c>
      <c r="C362">
        <v>267.49226006191952</v>
      </c>
      <c r="D362">
        <v>279.13809990205681</v>
      </c>
    </row>
    <row r="363" spans="1:7">
      <c r="A363" t="s">
        <v>1496</v>
      </c>
      <c r="B363">
        <v>288.07922178599114</v>
      </c>
      <c r="C363">
        <v>280.61538461538464</v>
      </c>
      <c r="D363">
        <v>276.02905569007265</v>
      </c>
    </row>
    <row r="364" spans="1:7">
      <c r="A364" t="s">
        <v>1499</v>
      </c>
      <c r="B364">
        <v>287.34907871852391</v>
      </c>
      <c r="C364">
        <v>275.75641516660284</v>
      </c>
      <c r="D364">
        <v>272.24602974539954</v>
      </c>
    </row>
    <row r="365" spans="1:7">
      <c r="A365" t="s">
        <v>1641</v>
      </c>
      <c r="B365">
        <v>280.94645080946452</v>
      </c>
      <c r="C365">
        <v>267.29365177577034</v>
      </c>
      <c r="D365">
        <v>279.03561375596627</v>
      </c>
    </row>
    <row r="366" spans="1:7">
      <c r="A366" t="s">
        <v>1643</v>
      </c>
      <c r="B366">
        <v>317.09281256291524</v>
      </c>
      <c r="C366">
        <v>273.86839102320272</v>
      </c>
      <c r="D366">
        <v>269.49469744229572</v>
      </c>
    </row>
    <row r="367" spans="1:7">
      <c r="A367" s="1"/>
    </row>
    <row r="368" spans="1:7">
      <c r="A368" s="3" t="s">
        <v>18</v>
      </c>
      <c r="B368">
        <v>8</v>
      </c>
    </row>
    <row r="369" spans="1:7">
      <c r="A369" s="3" t="s">
        <v>191</v>
      </c>
      <c r="B369">
        <v>5</v>
      </c>
    </row>
    <row r="370" spans="1:7">
      <c r="A370" s="3" t="s">
        <v>192</v>
      </c>
      <c r="B370">
        <v>3</v>
      </c>
    </row>
    <row r="371" spans="1:7">
      <c r="A371" s="6" t="s">
        <v>193</v>
      </c>
      <c r="B371">
        <v>62.5</v>
      </c>
    </row>
    <row r="372" spans="1:7">
      <c r="A372" s="1"/>
    </row>
    <row r="373" spans="1:7">
      <c r="A373" s="3" t="s">
        <v>19</v>
      </c>
      <c r="B373">
        <v>0.92109115440839406</v>
      </c>
    </row>
    <row r="374" spans="1:7">
      <c r="A374" t="s">
        <v>20</v>
      </c>
      <c r="B374">
        <v>79.153461092380553</v>
      </c>
    </row>
    <row r="375" spans="1:7">
      <c r="A375" t="s">
        <v>23</v>
      </c>
      <c r="B375">
        <v>8.8968230898664356</v>
      </c>
    </row>
    <row r="376" spans="1:7">
      <c r="A376" t="s">
        <v>24</v>
      </c>
      <c r="B376">
        <v>3.1455019689308048</v>
      </c>
    </row>
    <row r="377" spans="1:7">
      <c r="A377" s="1" t="s">
        <v>21</v>
      </c>
      <c r="B377">
        <v>0.29282803301550131</v>
      </c>
    </row>
    <row r="378" spans="1:7">
      <c r="A378" s="3" t="s">
        <v>22</v>
      </c>
      <c r="B378">
        <f>TDIST(ABS(B377),7,1)</f>
        <v>0.38907178145162902</v>
      </c>
    </row>
    <row r="380" spans="1:7">
      <c r="A380" s="2" t="s">
        <v>142</v>
      </c>
    </row>
    <row r="381" spans="1:7">
      <c r="A381" s="3" t="s">
        <v>7</v>
      </c>
      <c r="B381" s="3" t="s">
        <v>8</v>
      </c>
      <c r="C381" s="3" t="s">
        <v>9</v>
      </c>
      <c r="D381" s="3" t="s">
        <v>10</v>
      </c>
      <c r="E381" s="3" t="s">
        <v>11</v>
      </c>
      <c r="F381" s="3" t="s">
        <v>12</v>
      </c>
      <c r="G381" s="3" t="s">
        <v>13</v>
      </c>
    </row>
    <row r="382" spans="1:7">
      <c r="A382" s="1" t="s">
        <v>1644</v>
      </c>
      <c r="B382">
        <v>289.14401776339571</v>
      </c>
      <c r="C382">
        <v>274.70431133155284</v>
      </c>
      <c r="D382">
        <v>280.75360177318066</v>
      </c>
    </row>
    <row r="383" spans="1:7">
      <c r="A383" t="s">
        <v>1645</v>
      </c>
      <c r="B383">
        <v>310.38599283724631</v>
      </c>
      <c r="C383">
        <v>269.3602693602694</v>
      </c>
      <c r="D383">
        <v>276.63188546469303</v>
      </c>
    </row>
    <row r="384" spans="1:7">
      <c r="A384" t="s">
        <v>1301</v>
      </c>
      <c r="B384">
        <v>304.59149053806135</v>
      </c>
      <c r="C384">
        <v>283.39018630280765</v>
      </c>
      <c r="D384">
        <v>272.28034791377786</v>
      </c>
    </row>
    <row r="385" spans="1:7">
      <c r="A385" t="s">
        <v>1303</v>
      </c>
      <c r="B385" t="e">
        <f>NA()</f>
        <v>#N/A</v>
      </c>
      <c r="C385">
        <v>278.04878048780489</v>
      </c>
      <c r="D385">
        <v>278.21842586943256</v>
      </c>
      <c r="E385" t="s">
        <v>46</v>
      </c>
    </row>
    <row r="386" spans="1:7">
      <c r="A386" t="s">
        <v>1648</v>
      </c>
      <c r="B386">
        <v>281.44414780807904</v>
      </c>
      <c r="C386">
        <v>283.22981366459629</v>
      </c>
      <c r="D386">
        <v>277.43976636651257</v>
      </c>
    </row>
    <row r="387" spans="1:7">
      <c r="A387" s="1" t="s">
        <v>1650</v>
      </c>
      <c r="B387">
        <v>283.00466656631039</v>
      </c>
      <c r="C387">
        <v>275.4048195843427</v>
      </c>
      <c r="D387" t="e">
        <f>NA()</f>
        <v>#N/A</v>
      </c>
      <c r="G387" t="s">
        <v>29</v>
      </c>
    </row>
    <row r="388" spans="1:7">
      <c r="A388" s="1" t="s">
        <v>1317</v>
      </c>
      <c r="B388">
        <v>284.56083075106977</v>
      </c>
      <c r="C388">
        <v>272.45206861755804</v>
      </c>
      <c r="D388">
        <v>264.90066225165566</v>
      </c>
    </row>
    <row r="389" spans="1:7">
      <c r="A389" t="s">
        <v>1318</v>
      </c>
      <c r="B389" t="e">
        <f>NA()</f>
        <v>#N/A</v>
      </c>
      <c r="C389">
        <v>275.62862669245646</v>
      </c>
      <c r="D389">
        <v>280.51181102362204</v>
      </c>
      <c r="E389" t="s">
        <v>15</v>
      </c>
    </row>
    <row r="390" spans="1:7">
      <c r="A390" t="s">
        <v>600</v>
      </c>
      <c r="B390">
        <v>273.26515819520557</v>
      </c>
      <c r="C390">
        <v>265.76341844710782</v>
      </c>
      <c r="D390">
        <v>247.55028365136667</v>
      </c>
    </row>
    <row r="391" spans="1:7">
      <c r="A391" t="s">
        <v>603</v>
      </c>
      <c r="B391">
        <v>284.05551541125755</v>
      </c>
      <c r="C391" t="e">
        <f>NA()</f>
        <v>#N/A</v>
      </c>
      <c r="D391" t="e">
        <f>NA()</f>
        <v>#N/A</v>
      </c>
      <c r="F391" t="s">
        <v>49</v>
      </c>
      <c r="G391" t="s">
        <v>55</v>
      </c>
    </row>
    <row r="392" spans="1:7">
      <c r="A392" t="s">
        <v>1332</v>
      </c>
      <c r="B392">
        <v>283.55957767722469</v>
      </c>
      <c r="C392">
        <v>275.08914926133468</v>
      </c>
      <c r="D392" t="e">
        <f>NA()</f>
        <v>#N/A</v>
      </c>
      <c r="G392" t="s">
        <v>40</v>
      </c>
    </row>
    <row r="393" spans="1:7">
      <c r="A393" s="1" t="s">
        <v>1452</v>
      </c>
      <c r="B393">
        <v>299.95196650617277</v>
      </c>
      <c r="C393">
        <v>260.33690658499233</v>
      </c>
      <c r="D393">
        <v>248.15820085304381</v>
      </c>
    </row>
    <row r="394" spans="1:7">
      <c r="A394" t="s">
        <v>1652</v>
      </c>
      <c r="B394">
        <v>297.75182335396875</v>
      </c>
      <c r="C394">
        <v>267.82393056416618</v>
      </c>
      <c r="D394">
        <v>211.26760563380282</v>
      </c>
    </row>
    <row r="395" spans="1:7">
      <c r="A395" t="s">
        <v>1653</v>
      </c>
      <c r="B395">
        <v>322.04071614601094</v>
      </c>
      <c r="C395">
        <v>293.39853300733495</v>
      </c>
      <c r="D395">
        <v>270.88036117381489</v>
      </c>
    </row>
    <row r="397" spans="1:7">
      <c r="A397" s="3" t="s">
        <v>18</v>
      </c>
      <c r="B397">
        <v>11</v>
      </c>
    </row>
    <row r="398" spans="1:7">
      <c r="A398" s="4" t="s">
        <v>191</v>
      </c>
      <c r="B398">
        <v>7</v>
      </c>
    </row>
    <row r="399" spans="1:7">
      <c r="A399" s="3" t="s">
        <v>192</v>
      </c>
      <c r="B399">
        <v>4</v>
      </c>
    </row>
    <row r="400" spans="1:7">
      <c r="A400" s="6" t="s">
        <v>193</v>
      </c>
      <c r="B400">
        <v>63.636363636363633</v>
      </c>
    </row>
    <row r="402" spans="1:7">
      <c r="A402" s="3" t="s">
        <v>19</v>
      </c>
      <c r="B402">
        <v>10.503990280522208</v>
      </c>
    </row>
    <row r="403" spans="1:7">
      <c r="A403" s="1" t="s">
        <v>20</v>
      </c>
      <c r="B403">
        <v>329.9374654031983</v>
      </c>
    </row>
    <row r="404" spans="1:7">
      <c r="A404" t="s">
        <v>23</v>
      </c>
      <c r="B404">
        <v>18.164180834906876</v>
      </c>
    </row>
    <row r="405" spans="1:7">
      <c r="A405" t="s">
        <v>24</v>
      </c>
      <c r="B405">
        <v>5.4767065866864177</v>
      </c>
    </row>
    <row r="406" spans="1:7">
      <c r="A406" t="s">
        <v>21</v>
      </c>
      <c r="B406">
        <v>1.9179392056636464</v>
      </c>
    </row>
    <row r="407" spans="1:7">
      <c r="A407" s="3" t="s">
        <v>22</v>
      </c>
      <c r="B407">
        <f>TDIST(ABS(B406),10,1)</f>
        <v>4.2047431766678751E-2</v>
      </c>
    </row>
    <row r="408" spans="1:7">
      <c r="A408" s="1"/>
    </row>
    <row r="409" spans="1:7">
      <c r="A409" s="2" t="s">
        <v>1825</v>
      </c>
    </row>
    <row r="410" spans="1:7">
      <c r="A410" s="3" t="s">
        <v>7</v>
      </c>
      <c r="B410" s="3" t="s">
        <v>8</v>
      </c>
      <c r="C410" s="3" t="s">
        <v>9</v>
      </c>
      <c r="D410" s="3" t="s">
        <v>10</v>
      </c>
      <c r="E410" s="3" t="s">
        <v>11</v>
      </c>
      <c r="F410" s="3" t="s">
        <v>12</v>
      </c>
      <c r="G410" s="3" t="s">
        <v>13</v>
      </c>
    </row>
    <row r="411" spans="1:7">
      <c r="A411" t="s">
        <v>1646</v>
      </c>
      <c r="B411">
        <v>295.14794663486623</v>
      </c>
      <c r="C411">
        <v>267.32673267326737</v>
      </c>
      <c r="D411">
        <v>272.96853279413625</v>
      </c>
    </row>
    <row r="412" spans="1:7">
      <c r="A412" t="s">
        <v>1647</v>
      </c>
      <c r="B412">
        <v>324.77713576093186</v>
      </c>
      <c r="C412">
        <v>286.97293895531783</v>
      </c>
      <c r="D412">
        <v>275.36970933197347</v>
      </c>
    </row>
    <row r="413" spans="1:7">
      <c r="A413" s="1" t="s">
        <v>1302</v>
      </c>
      <c r="B413" t="e">
        <f>NA()</f>
        <v>#N/A</v>
      </c>
      <c r="C413">
        <v>266.46928201332349</v>
      </c>
      <c r="D413">
        <v>268.89082534545003</v>
      </c>
      <c r="E413" t="s">
        <v>150</v>
      </c>
    </row>
    <row r="414" spans="1:7">
      <c r="A414" t="s">
        <v>1304</v>
      </c>
      <c r="B414">
        <v>317.15184790853004</v>
      </c>
      <c r="C414">
        <v>276.46230641238958</v>
      </c>
      <c r="D414">
        <v>290.10032636286718</v>
      </c>
    </row>
    <row r="415" spans="1:7">
      <c r="A415" t="s">
        <v>1649</v>
      </c>
      <c r="B415">
        <v>274.98677948175566</v>
      </c>
      <c r="C415">
        <v>258.58790721257446</v>
      </c>
      <c r="D415">
        <v>262.68349214524852</v>
      </c>
    </row>
    <row r="416" spans="1:7">
      <c r="A416" t="s">
        <v>1651</v>
      </c>
      <c r="B416">
        <v>307.43974330273858</v>
      </c>
      <c r="C416">
        <v>306.39601685178093</v>
      </c>
      <c r="D416">
        <v>290.33490385839809</v>
      </c>
    </row>
    <row r="417" spans="1:4">
      <c r="A417" t="s">
        <v>1445</v>
      </c>
      <c r="B417">
        <v>272.43145069747499</v>
      </c>
      <c r="C417">
        <v>279.35851008794623</v>
      </c>
      <c r="D417">
        <v>272.75989950951072</v>
      </c>
    </row>
    <row r="418" spans="1:4">
      <c r="A418" s="1" t="s">
        <v>1447</v>
      </c>
      <c r="B418">
        <v>267.42801484271502</v>
      </c>
      <c r="C418">
        <v>272.96853279413625</v>
      </c>
      <c r="D418">
        <v>262.58205689277901</v>
      </c>
    </row>
    <row r="419" spans="1:4">
      <c r="A419" t="s">
        <v>601</v>
      </c>
      <c r="B419">
        <v>293.98696428214362</v>
      </c>
      <c r="C419">
        <v>270.27027027027026</v>
      </c>
      <c r="D419">
        <v>260.83806303586522</v>
      </c>
    </row>
    <row r="420" spans="1:4">
      <c r="A420" t="s">
        <v>960</v>
      </c>
      <c r="B420">
        <v>276.29359699656618</v>
      </c>
      <c r="C420">
        <v>251.37470542026711</v>
      </c>
      <c r="D420">
        <v>251.35534746180383</v>
      </c>
    </row>
    <row r="421" spans="1:4">
      <c r="A421" t="s">
        <v>1334</v>
      </c>
      <c r="B421">
        <v>258.51182369691713</v>
      </c>
      <c r="C421">
        <v>261.0030706243603</v>
      </c>
      <c r="D421">
        <v>248.06201550387595</v>
      </c>
    </row>
    <row r="422" spans="1:4">
      <c r="A422" t="s">
        <v>1335</v>
      </c>
      <c r="B422">
        <v>258.4004590129731</v>
      </c>
      <c r="C422">
        <v>266.04068857589988</v>
      </c>
      <c r="D422">
        <v>253.70622834636404</v>
      </c>
    </row>
    <row r="423" spans="1:4">
      <c r="A423" s="1" t="s">
        <v>1654</v>
      </c>
      <c r="B423">
        <v>342.91730378763191</v>
      </c>
      <c r="C423">
        <v>284.43113772455092</v>
      </c>
      <c r="D423">
        <v>289.33092224231461</v>
      </c>
    </row>
    <row r="424" spans="1:4">
      <c r="A424" s="1" t="s">
        <v>1655</v>
      </c>
      <c r="B424">
        <v>297.49085991886614</v>
      </c>
      <c r="C424">
        <v>277.13625866050813</v>
      </c>
      <c r="D424">
        <v>291.00191448627953</v>
      </c>
    </row>
    <row r="426" spans="1:4">
      <c r="A426" s="3" t="s">
        <v>18</v>
      </c>
      <c r="B426">
        <v>14</v>
      </c>
    </row>
    <row r="427" spans="1:4">
      <c r="A427" s="3" t="s">
        <v>191</v>
      </c>
      <c r="B427">
        <v>8</v>
      </c>
    </row>
    <row r="428" spans="1:4">
      <c r="A428" s="3" t="s">
        <v>192</v>
      </c>
      <c r="B428">
        <v>6</v>
      </c>
    </row>
    <row r="429" spans="1:4">
      <c r="A429" s="6" t="s">
        <v>193</v>
      </c>
      <c r="B429">
        <v>57.142857142857146</v>
      </c>
    </row>
    <row r="431" spans="1:4">
      <c r="A431" s="3" t="s">
        <v>19</v>
      </c>
      <c r="B431">
        <v>2.486722925694735</v>
      </c>
    </row>
    <row r="432" spans="1:4">
      <c r="A432" t="s">
        <v>20</v>
      </c>
      <c r="B432">
        <v>101.74968986282273</v>
      </c>
    </row>
    <row r="433" spans="1:7">
      <c r="A433" t="s">
        <v>23</v>
      </c>
      <c r="B433">
        <v>10.087105127975159</v>
      </c>
    </row>
    <row r="434" spans="1:7">
      <c r="A434" s="1" t="s">
        <v>24</v>
      </c>
      <c r="B434">
        <v>2.6958922438038253</v>
      </c>
    </row>
    <row r="435" spans="1:7">
      <c r="A435" s="1" t="s">
        <v>21</v>
      </c>
      <c r="B435">
        <v>0.92241184023959411</v>
      </c>
    </row>
    <row r="436" spans="1:7">
      <c r="A436" s="3" t="s">
        <v>22</v>
      </c>
      <c r="B436">
        <f>TDIST(ABS(B435),13,1)</f>
        <v>0.18655832765344599</v>
      </c>
    </row>
    <row r="438" spans="1:7">
      <c r="A438" s="2" t="s">
        <v>143</v>
      </c>
    </row>
    <row r="439" spans="1:7">
      <c r="A439" s="3" t="s">
        <v>7</v>
      </c>
      <c r="B439" s="3" t="s">
        <v>8</v>
      </c>
      <c r="C439" s="3" t="s">
        <v>9</v>
      </c>
      <c r="D439" s="3" t="s">
        <v>10</v>
      </c>
      <c r="E439" s="3" t="s">
        <v>11</v>
      </c>
      <c r="F439" s="3" t="s">
        <v>12</v>
      </c>
      <c r="G439" s="3" t="s">
        <v>13</v>
      </c>
    </row>
    <row r="440" spans="1:7">
      <c r="A440" s="1" t="s">
        <v>1656</v>
      </c>
      <c r="B440">
        <v>300.72926847605441</v>
      </c>
      <c r="C440">
        <v>268.38966202783303</v>
      </c>
      <c r="D440">
        <v>281.8642601063172</v>
      </c>
    </row>
    <row r="441" spans="1:7">
      <c r="A441" s="1" t="s">
        <v>1659</v>
      </c>
      <c r="B441">
        <v>318.72509960159363</v>
      </c>
      <c r="C441">
        <v>276.5647743813683</v>
      </c>
      <c r="D441">
        <v>276.69902912621359</v>
      </c>
    </row>
    <row r="442" spans="1:7">
      <c r="A442" t="s">
        <v>1309</v>
      </c>
      <c r="B442">
        <v>303.13641138512332</v>
      </c>
      <c r="C442">
        <v>281.89910979228483</v>
      </c>
      <c r="D442">
        <v>297.04091619278108</v>
      </c>
    </row>
    <row r="443" spans="1:7">
      <c r="A443" t="s">
        <v>1311</v>
      </c>
      <c r="B443">
        <v>279.23735174898661</v>
      </c>
      <c r="C443">
        <v>274.04212128901298</v>
      </c>
      <c r="D443">
        <v>281.58577250833645</v>
      </c>
    </row>
    <row r="445" spans="1:7">
      <c r="A445" s="3" t="s">
        <v>18</v>
      </c>
      <c r="B445">
        <v>4</v>
      </c>
    </row>
    <row r="446" spans="1:7">
      <c r="A446" s="4" t="s">
        <v>191</v>
      </c>
      <c r="B446">
        <v>0</v>
      </c>
    </row>
    <row r="447" spans="1:7">
      <c r="A447" s="3" t="s">
        <v>192</v>
      </c>
      <c r="B447">
        <v>4</v>
      </c>
    </row>
    <row r="448" spans="1:7">
      <c r="A448" s="6" t="s">
        <v>193</v>
      </c>
      <c r="B448">
        <v>0</v>
      </c>
    </row>
    <row r="450" spans="1:7">
      <c r="A450" s="3" t="s">
        <v>19</v>
      </c>
      <c r="B450">
        <v>-9.0735776107872965</v>
      </c>
    </row>
    <row r="451" spans="1:7">
      <c r="A451" s="1" t="s">
        <v>20</v>
      </c>
      <c r="B451">
        <v>46.148183288730188</v>
      </c>
    </row>
    <row r="452" spans="1:7">
      <c r="A452" s="1" t="s">
        <v>23</v>
      </c>
      <c r="B452">
        <v>6.7932454164949903</v>
      </c>
    </row>
    <row r="453" spans="1:7">
      <c r="A453" t="s">
        <v>24</v>
      </c>
      <c r="B453">
        <v>3.3966227082474951</v>
      </c>
    </row>
    <row r="454" spans="1:7">
      <c r="A454" t="s">
        <v>21</v>
      </c>
      <c r="B454">
        <v>-2.6713528084103446</v>
      </c>
    </row>
    <row r="455" spans="1:7">
      <c r="A455" s="3" t="s">
        <v>22</v>
      </c>
      <c r="B455">
        <f>TDIST(ABS(B454),3,1)</f>
        <v>3.7801609689796949E-2</v>
      </c>
    </row>
    <row r="457" spans="1:7">
      <c r="A457" s="5" t="s">
        <v>1879</v>
      </c>
    </row>
    <row r="458" spans="1:7">
      <c r="A458" s="4" t="s">
        <v>7</v>
      </c>
      <c r="B458" s="3" t="s">
        <v>8</v>
      </c>
      <c r="C458" s="3" t="s">
        <v>9</v>
      </c>
      <c r="D458" s="3" t="s">
        <v>10</v>
      </c>
      <c r="E458" s="3" t="s">
        <v>11</v>
      </c>
      <c r="F458" s="3" t="s">
        <v>12</v>
      </c>
      <c r="G458" s="3" t="s">
        <v>13</v>
      </c>
    </row>
    <row r="459" spans="1:7">
      <c r="A459" t="s">
        <v>1657</v>
      </c>
      <c r="B459">
        <v>301.19284294234592</v>
      </c>
      <c r="C459">
        <v>274.99698468218554</v>
      </c>
      <c r="D459">
        <v>281.23843591957569</v>
      </c>
    </row>
    <row r="460" spans="1:7">
      <c r="A460" t="s">
        <v>1658</v>
      </c>
      <c r="B460">
        <v>311.9454095533282</v>
      </c>
      <c r="C460">
        <v>291.78397747632454</v>
      </c>
      <c r="D460">
        <v>283.08914824931708</v>
      </c>
    </row>
    <row r="461" spans="1:7">
      <c r="A461" t="s">
        <v>1310</v>
      </c>
      <c r="B461">
        <v>300.35348438287645</v>
      </c>
      <c r="C461">
        <v>304.46960531998451</v>
      </c>
      <c r="D461">
        <v>269.96625421822273</v>
      </c>
    </row>
    <row r="462" spans="1:7">
      <c r="A462" t="s">
        <v>1312</v>
      </c>
      <c r="B462">
        <v>306.42232010661758</v>
      </c>
      <c r="C462">
        <v>260.55488540410136</v>
      </c>
      <c r="D462">
        <v>271.39087825103661</v>
      </c>
    </row>
    <row r="463" spans="1:7">
      <c r="A463" s="1"/>
    </row>
    <row r="464" spans="1:7">
      <c r="A464" s="4" t="s">
        <v>18</v>
      </c>
      <c r="B464">
        <v>4</v>
      </c>
    </row>
    <row r="465" spans="1:7">
      <c r="A465" s="3" t="s">
        <v>191</v>
      </c>
      <c r="B465">
        <v>2</v>
      </c>
    </row>
    <row r="466" spans="1:7">
      <c r="A466" s="3" t="s">
        <v>192</v>
      </c>
      <c r="B466">
        <v>2</v>
      </c>
    </row>
    <row r="467" spans="1:7">
      <c r="A467" s="6" t="s">
        <v>193</v>
      </c>
      <c r="B467">
        <v>50</v>
      </c>
    </row>
    <row r="469" spans="1:7">
      <c r="A469" s="4" t="s">
        <v>19</v>
      </c>
      <c r="B469">
        <v>6.5301840611109583</v>
      </c>
    </row>
    <row r="470" spans="1:7">
      <c r="A470" s="1" t="s">
        <v>20</v>
      </c>
      <c r="B470">
        <v>417.29417719262318</v>
      </c>
    </row>
    <row r="471" spans="1:7">
      <c r="A471" t="s">
        <v>23</v>
      </c>
      <c r="B471">
        <v>20.427779546309559</v>
      </c>
    </row>
    <row r="472" spans="1:7">
      <c r="A472" t="s">
        <v>24</v>
      </c>
      <c r="B472">
        <v>10.213889773154779</v>
      </c>
    </row>
    <row r="473" spans="1:7">
      <c r="A473" t="s">
        <v>21</v>
      </c>
      <c r="B473">
        <v>0.63934350244059568</v>
      </c>
    </row>
    <row r="474" spans="1:7">
      <c r="A474" s="3" t="s">
        <v>22</v>
      </c>
      <c r="B474">
        <f>TDIST(ABS(B473),3,1)</f>
        <v>0.28403570655204285</v>
      </c>
    </row>
    <row r="475" spans="1:7">
      <c r="A475" s="1"/>
    </row>
    <row r="476" spans="1:7">
      <c r="A476" s="5" t="s">
        <v>144</v>
      </c>
    </row>
    <row r="477" spans="1:7">
      <c r="A477" s="4" t="s">
        <v>7</v>
      </c>
      <c r="B477" s="3" t="s">
        <v>8</v>
      </c>
      <c r="C477" s="3" t="s">
        <v>9</v>
      </c>
      <c r="D477" s="3" t="s">
        <v>10</v>
      </c>
      <c r="E477" s="3" t="s">
        <v>11</v>
      </c>
      <c r="F477" s="3" t="s">
        <v>12</v>
      </c>
      <c r="G477" s="3" t="s">
        <v>13</v>
      </c>
    </row>
    <row r="478" spans="1:7">
      <c r="A478" s="1" t="s">
        <v>1660</v>
      </c>
      <c r="B478">
        <v>286.00100351229304</v>
      </c>
      <c r="C478">
        <v>256.24921492274842</v>
      </c>
      <c r="D478">
        <v>283.58208955223881</v>
      </c>
    </row>
    <row r="479" spans="1:7">
      <c r="A479" t="s">
        <v>1661</v>
      </c>
      <c r="B479">
        <v>290.41191587036252</v>
      </c>
      <c r="C479">
        <v>266.66794328288739</v>
      </c>
      <c r="D479">
        <v>275.51020408163271</v>
      </c>
    </row>
    <row r="480" spans="1:7">
      <c r="A480" t="s">
        <v>1217</v>
      </c>
      <c r="B480">
        <v>285.17823639774861</v>
      </c>
      <c r="C480">
        <v>285.78579001227524</v>
      </c>
      <c r="D480">
        <v>282.70303781773094</v>
      </c>
    </row>
    <row r="481" spans="1:4">
      <c r="A481" t="s">
        <v>1219</v>
      </c>
      <c r="B481">
        <v>303.73714017729469</v>
      </c>
      <c r="C481">
        <v>267.82393056416618</v>
      </c>
      <c r="D481">
        <v>292.54022428083857</v>
      </c>
    </row>
    <row r="482" spans="1:4">
      <c r="A482" t="s">
        <v>1664</v>
      </c>
      <c r="B482">
        <v>276.13116230209351</v>
      </c>
      <c r="C482">
        <v>285.96513232158537</v>
      </c>
      <c r="D482">
        <v>290.29793735676088</v>
      </c>
    </row>
    <row r="483" spans="1:4">
      <c r="A483" s="1" t="s">
        <v>1667</v>
      </c>
      <c r="B483">
        <v>302.6863412788498</v>
      </c>
      <c r="C483">
        <v>273.90677558865934</v>
      </c>
      <c r="D483">
        <v>269.93251687078231</v>
      </c>
    </row>
    <row r="484" spans="1:4">
      <c r="A484" s="1" t="s">
        <v>1380</v>
      </c>
      <c r="B484">
        <v>287.75540790328222</v>
      </c>
      <c r="C484">
        <v>280.3393581704168</v>
      </c>
      <c r="D484">
        <v>272.04030226700252</v>
      </c>
    </row>
    <row r="485" spans="1:4">
      <c r="A485" s="1" t="s">
        <v>1383</v>
      </c>
      <c r="B485">
        <v>264.00996611414013</v>
      </c>
      <c r="C485">
        <v>266.60083929893852</v>
      </c>
      <c r="D485">
        <v>256.92695214105794</v>
      </c>
    </row>
    <row r="486" spans="1:4">
      <c r="A486" t="s">
        <v>608</v>
      </c>
      <c r="B486">
        <v>270.87356725439543</v>
      </c>
      <c r="C486">
        <v>271.11836324839965</v>
      </c>
      <c r="D486">
        <v>243.4077079107505</v>
      </c>
    </row>
    <row r="487" spans="1:4">
      <c r="A487" t="s">
        <v>961</v>
      </c>
      <c r="B487">
        <v>284.89682263802757</v>
      </c>
      <c r="C487">
        <v>278.86497064579254</v>
      </c>
      <c r="D487">
        <v>257.05105319528741</v>
      </c>
    </row>
    <row r="488" spans="1:4">
      <c r="A488" t="s">
        <v>1340</v>
      </c>
      <c r="B488">
        <v>253.40003519444932</v>
      </c>
      <c r="C488">
        <v>264.38188494492044</v>
      </c>
      <c r="D488">
        <v>250</v>
      </c>
    </row>
    <row r="489" spans="1:4">
      <c r="A489" t="s">
        <v>1461</v>
      </c>
      <c r="B489">
        <v>280.1370883623901</v>
      </c>
      <c r="C489">
        <v>269.56196181205542</v>
      </c>
      <c r="D489">
        <v>255.67113673392655</v>
      </c>
    </row>
    <row r="490" spans="1:4">
      <c r="A490" s="1" t="s">
        <v>1356</v>
      </c>
      <c r="B490">
        <v>280.11345096759618</v>
      </c>
      <c r="C490">
        <v>273.97260273972603</v>
      </c>
      <c r="D490">
        <v>264.93315344045141</v>
      </c>
    </row>
    <row r="491" spans="1:4">
      <c r="A491" s="1" t="s">
        <v>1492</v>
      </c>
      <c r="B491">
        <v>277.81066145657292</v>
      </c>
      <c r="C491">
        <v>270.71061536533398</v>
      </c>
      <c r="D491">
        <v>262.00873362445418</v>
      </c>
    </row>
    <row r="492" spans="1:4">
      <c r="A492" s="1" t="s">
        <v>1668</v>
      </c>
      <c r="B492">
        <v>354.79483275171572</v>
      </c>
      <c r="C492">
        <v>319.02772502848467</v>
      </c>
      <c r="D492">
        <v>280.47730348136298</v>
      </c>
    </row>
    <row r="493" spans="1:4">
      <c r="A493" s="1" t="s">
        <v>1671</v>
      </c>
      <c r="B493">
        <v>312.27323908419868</v>
      </c>
      <c r="C493">
        <v>297.12239223042741</v>
      </c>
      <c r="D493">
        <v>277.54108338405359</v>
      </c>
    </row>
    <row r="495" spans="1:4">
      <c r="A495" s="3" t="s">
        <v>18</v>
      </c>
      <c r="B495">
        <v>16</v>
      </c>
    </row>
    <row r="496" spans="1:4">
      <c r="A496" s="3" t="s">
        <v>191</v>
      </c>
      <c r="B496">
        <v>12</v>
      </c>
    </row>
    <row r="497" spans="1:7">
      <c r="A497" s="3" t="s">
        <v>192</v>
      </c>
      <c r="B497">
        <v>4</v>
      </c>
    </row>
    <row r="498" spans="1:7">
      <c r="A498" s="6" t="s">
        <v>193</v>
      </c>
      <c r="B498">
        <v>75</v>
      </c>
    </row>
    <row r="499" spans="1:7">
      <c r="A499" s="1"/>
    </row>
    <row r="500" spans="1:7">
      <c r="A500" s="4" t="s">
        <v>19</v>
      </c>
      <c r="B500">
        <v>7.0922540024053813</v>
      </c>
    </row>
    <row r="501" spans="1:7">
      <c r="A501" s="1" t="s">
        <v>20</v>
      </c>
      <c r="B501">
        <v>300.56090190645142</v>
      </c>
    </row>
    <row r="502" spans="1:7">
      <c r="A502" t="s">
        <v>23</v>
      </c>
      <c r="B502">
        <v>17.33669235772647</v>
      </c>
    </row>
    <row r="503" spans="1:7">
      <c r="A503" t="s">
        <v>24</v>
      </c>
      <c r="B503">
        <v>4.3341730894316175</v>
      </c>
    </row>
    <row r="504" spans="1:7">
      <c r="A504" t="s">
        <v>21</v>
      </c>
      <c r="B504">
        <v>1.6363568911677817</v>
      </c>
    </row>
    <row r="505" spans="1:7">
      <c r="A505" s="3" t="s">
        <v>22</v>
      </c>
      <c r="B505">
        <f>TDIST(ABS(B504),15,1)</f>
        <v>6.1284481716681591E-2</v>
      </c>
    </row>
    <row r="506" spans="1:7">
      <c r="A506" s="1"/>
    </row>
    <row r="507" spans="1:7">
      <c r="A507" s="5" t="s">
        <v>1822</v>
      </c>
    </row>
    <row r="508" spans="1:7">
      <c r="A508" s="4" t="s">
        <v>7</v>
      </c>
      <c r="B508" s="3" t="s">
        <v>8</v>
      </c>
      <c r="C508" s="3" t="s">
        <v>9</v>
      </c>
      <c r="D508" s="3" t="s">
        <v>10</v>
      </c>
      <c r="E508" s="3" t="s">
        <v>11</v>
      </c>
      <c r="F508" s="3" t="s">
        <v>12</v>
      </c>
      <c r="G508" s="3" t="s">
        <v>13</v>
      </c>
    </row>
    <row r="509" spans="1:7">
      <c r="A509" s="1" t="s">
        <v>1662</v>
      </c>
      <c r="B509">
        <v>295.06962739932254</v>
      </c>
      <c r="C509">
        <v>267.19445818901534</v>
      </c>
      <c r="D509">
        <v>281.03044496487115</v>
      </c>
    </row>
    <row r="510" spans="1:7">
      <c r="A510" t="s">
        <v>1663</v>
      </c>
      <c r="B510">
        <v>289.91327844349019</v>
      </c>
      <c r="C510">
        <v>262.34567901234567</v>
      </c>
      <c r="D510">
        <v>271.11836324839965</v>
      </c>
    </row>
    <row r="511" spans="1:7">
      <c r="A511" t="s">
        <v>1218</v>
      </c>
      <c r="B511">
        <v>303.82793111228096</v>
      </c>
      <c r="C511">
        <v>263.87272021730695</v>
      </c>
      <c r="D511">
        <v>259.5419847328244</v>
      </c>
    </row>
    <row r="512" spans="1:7">
      <c r="A512" t="s">
        <v>1220</v>
      </c>
      <c r="B512">
        <v>301.72521098359431</v>
      </c>
      <c r="C512">
        <v>264.24870466321244</v>
      </c>
      <c r="D512">
        <v>260.93630084420568</v>
      </c>
    </row>
    <row r="513" spans="1:5">
      <c r="A513" t="s">
        <v>1665</v>
      </c>
      <c r="B513">
        <v>279.08372511753527</v>
      </c>
      <c r="C513">
        <v>262.34567901234567</v>
      </c>
      <c r="D513">
        <v>274.42510481514415</v>
      </c>
    </row>
    <row r="514" spans="1:5">
      <c r="A514" s="1" t="s">
        <v>1666</v>
      </c>
      <c r="B514">
        <v>296.50335687723066</v>
      </c>
      <c r="C514">
        <v>276.25015986699066</v>
      </c>
      <c r="D514">
        <v>279.82326951399114</v>
      </c>
    </row>
    <row r="515" spans="1:5">
      <c r="A515" s="1" t="s">
        <v>1477</v>
      </c>
      <c r="B515">
        <v>264.22775698913205</v>
      </c>
      <c r="C515">
        <v>262.58205689277901</v>
      </c>
      <c r="D515">
        <v>260.56967684250861</v>
      </c>
    </row>
    <row r="516" spans="1:5">
      <c r="A516" s="1" t="s">
        <v>1478</v>
      </c>
      <c r="B516">
        <v>267.58471193788006</v>
      </c>
      <c r="C516">
        <v>275.31302459273871</v>
      </c>
      <c r="D516">
        <v>253.53030653204618</v>
      </c>
    </row>
    <row r="517" spans="1:5">
      <c r="A517" s="1" t="s">
        <v>609</v>
      </c>
      <c r="B517">
        <v>297.37915842699442</v>
      </c>
      <c r="C517">
        <v>274.91408934707903</v>
      </c>
      <c r="D517">
        <v>243.03797468354432</v>
      </c>
    </row>
    <row r="518" spans="1:5">
      <c r="A518" t="s">
        <v>963</v>
      </c>
      <c r="B518" t="e">
        <f>NA()</f>
        <v>#N/A</v>
      </c>
      <c r="C518">
        <v>376.4115432873275</v>
      </c>
      <c r="D518">
        <v>360</v>
      </c>
      <c r="E518" t="s">
        <v>151</v>
      </c>
    </row>
    <row r="519" spans="1:5">
      <c r="A519" t="s">
        <v>1342</v>
      </c>
      <c r="B519">
        <v>293.51690748165515</v>
      </c>
      <c r="C519">
        <v>268.52312282446542</v>
      </c>
      <c r="D519">
        <v>264.50776432418741</v>
      </c>
    </row>
    <row r="520" spans="1:5">
      <c r="A520" t="s">
        <v>1343</v>
      </c>
      <c r="B520">
        <v>280.17674231773447</v>
      </c>
      <c r="C520">
        <v>266.66666666666663</v>
      </c>
      <c r="D520">
        <v>252.60029717682022</v>
      </c>
    </row>
    <row r="521" spans="1:5">
      <c r="A521" t="s">
        <v>1357</v>
      </c>
      <c r="B521">
        <v>294.87263281024406</v>
      </c>
      <c r="C521">
        <v>280.6581980493383</v>
      </c>
      <c r="D521">
        <v>265.74803149606299</v>
      </c>
    </row>
    <row r="522" spans="1:5">
      <c r="A522" s="1" t="s">
        <v>1494</v>
      </c>
      <c r="B522">
        <v>291.68546083295746</v>
      </c>
      <c r="C522">
        <v>315.63126252505009</v>
      </c>
      <c r="D522">
        <v>287.11749149981114</v>
      </c>
    </row>
    <row r="523" spans="1:5">
      <c r="A523" s="1" t="s">
        <v>1669</v>
      </c>
      <c r="B523">
        <v>355.07409914992854</v>
      </c>
      <c r="C523">
        <v>283.33540449857088</v>
      </c>
      <c r="D523">
        <v>270.50720100187851</v>
      </c>
    </row>
    <row r="524" spans="1:5">
      <c r="A524" t="s">
        <v>1670</v>
      </c>
      <c r="B524">
        <v>327.63068907647221</v>
      </c>
      <c r="C524">
        <v>302.64817150063055</v>
      </c>
      <c r="D524">
        <v>274.73189540908544</v>
      </c>
    </row>
    <row r="526" spans="1:5">
      <c r="A526" s="3" t="s">
        <v>18</v>
      </c>
      <c r="B526">
        <v>16</v>
      </c>
    </row>
    <row r="527" spans="1:5">
      <c r="A527" s="3" t="s">
        <v>191</v>
      </c>
      <c r="B527">
        <v>12</v>
      </c>
    </row>
    <row r="528" spans="1:5">
      <c r="A528" s="4" t="s">
        <v>192</v>
      </c>
      <c r="B528">
        <v>4</v>
      </c>
    </row>
    <row r="529" spans="1:7">
      <c r="A529" s="6" t="s">
        <v>193</v>
      </c>
      <c r="B529">
        <v>75</v>
      </c>
    </row>
    <row r="531" spans="1:7">
      <c r="A531" s="3" t="s">
        <v>19</v>
      </c>
      <c r="B531">
        <v>8.9821771287801155</v>
      </c>
    </row>
    <row r="532" spans="1:7">
      <c r="A532" t="s">
        <v>20</v>
      </c>
      <c r="B532">
        <v>208.20710707172776</v>
      </c>
    </row>
    <row r="533" spans="1:7">
      <c r="A533" t="s">
        <v>23</v>
      </c>
      <c r="B533">
        <v>14.429383461247669</v>
      </c>
    </row>
    <row r="534" spans="1:7">
      <c r="A534" s="1" t="s">
        <v>24</v>
      </c>
      <c r="B534">
        <v>3.6073458653119173</v>
      </c>
    </row>
    <row r="535" spans="1:7">
      <c r="A535" s="1" t="s">
        <v>21</v>
      </c>
      <c r="B535">
        <v>2.4899683767925733</v>
      </c>
    </row>
    <row r="536" spans="1:7">
      <c r="A536" s="3" t="s">
        <v>22</v>
      </c>
      <c r="B536">
        <f>TDIST(ABS(B535),15,1)</f>
        <v>1.2497814233173159E-2</v>
      </c>
    </row>
    <row r="538" spans="1:7">
      <c r="A538" s="2" t="s">
        <v>1880</v>
      </c>
    </row>
    <row r="539" spans="1:7">
      <c r="A539" s="3" t="s">
        <v>7</v>
      </c>
      <c r="B539" s="3" t="s">
        <v>8</v>
      </c>
      <c r="C539" s="3" t="s">
        <v>9</v>
      </c>
      <c r="D539" s="3" t="s">
        <v>10</v>
      </c>
      <c r="E539" s="3" t="s">
        <v>11</v>
      </c>
      <c r="F539" s="3" t="s">
        <v>12</v>
      </c>
      <c r="G539" s="3" t="s">
        <v>13</v>
      </c>
    </row>
    <row r="540" spans="1:7">
      <c r="A540" s="1" t="s">
        <v>1344</v>
      </c>
      <c r="B540" t="e">
        <f>NA()</f>
        <v>#N/A</v>
      </c>
      <c r="C540">
        <v>349.89858012170384</v>
      </c>
      <c r="D540">
        <v>312.65508684863522</v>
      </c>
      <c r="E540" t="s">
        <v>14</v>
      </c>
    </row>
    <row r="541" spans="1:7">
      <c r="A541" t="s">
        <v>1491</v>
      </c>
      <c r="B541">
        <v>278.59268042012235</v>
      </c>
      <c r="C541">
        <v>284.28927680798006</v>
      </c>
      <c r="D541">
        <v>273.27935222672062</v>
      </c>
    </row>
    <row r="543" spans="1:7">
      <c r="A543" s="3" t="s">
        <v>18</v>
      </c>
      <c r="B543">
        <v>2</v>
      </c>
    </row>
    <row r="544" spans="1:7">
      <c r="A544" s="3" t="s">
        <v>191</v>
      </c>
      <c r="B544">
        <v>2</v>
      </c>
    </row>
    <row r="545" spans="1:7">
      <c r="A545" s="4" t="s">
        <v>192</v>
      </c>
      <c r="B545">
        <v>0</v>
      </c>
    </row>
    <row r="546" spans="1:7">
      <c r="A546" s="6" t="s">
        <v>193</v>
      </c>
      <c r="B546">
        <v>100</v>
      </c>
    </row>
    <row r="548" spans="1:7">
      <c r="A548" s="3" t="s">
        <v>19</v>
      </c>
      <c r="B548">
        <v>24.126708927164032</v>
      </c>
    </row>
    <row r="549" spans="1:7">
      <c r="A549" t="s">
        <v>20</v>
      </c>
      <c r="B549">
        <v>344.10006315393548</v>
      </c>
    </row>
    <row r="550" spans="1:7">
      <c r="A550" s="1" t="s">
        <v>23</v>
      </c>
      <c r="B550">
        <v>18.549934316701378</v>
      </c>
    </row>
    <row r="551" spans="1:7">
      <c r="A551" s="1" t="s">
        <v>24</v>
      </c>
      <c r="B551">
        <v>13.116784345904591</v>
      </c>
    </row>
    <row r="552" spans="1:7">
      <c r="A552" t="s">
        <v>21</v>
      </c>
      <c r="B552">
        <v>1.8393768084398698</v>
      </c>
    </row>
    <row r="553" spans="1:7">
      <c r="A553" s="3" t="s">
        <v>22</v>
      </c>
      <c r="B553">
        <f>TDIST(ABS(B552),1,1)</f>
        <v>0.15850701343665588</v>
      </c>
    </row>
    <row r="555" spans="1:7">
      <c r="A555" s="2" t="s">
        <v>1881</v>
      </c>
    </row>
    <row r="556" spans="1:7">
      <c r="A556" s="4" t="s">
        <v>7</v>
      </c>
      <c r="B556" s="3" t="s">
        <v>8</v>
      </c>
      <c r="C556" s="3" t="s">
        <v>9</v>
      </c>
      <c r="D556" s="3" t="s">
        <v>10</v>
      </c>
      <c r="E556" s="3" t="s">
        <v>11</v>
      </c>
      <c r="F556" s="3" t="s">
        <v>12</v>
      </c>
      <c r="G556" s="3" t="s">
        <v>13</v>
      </c>
    </row>
    <row r="557" spans="1:7">
      <c r="A557" s="1" t="s">
        <v>1488</v>
      </c>
      <c r="B557">
        <v>385.74549838017032</v>
      </c>
      <c r="C557">
        <v>332.409972299169</v>
      </c>
      <c r="D557">
        <v>271.35641541116456</v>
      </c>
    </row>
    <row r="558" spans="1:7">
      <c r="A558" t="s">
        <v>1345</v>
      </c>
      <c r="B558">
        <v>377.5469436675989</v>
      </c>
      <c r="C558">
        <v>314.13612565445021</v>
      </c>
      <c r="D558">
        <v>269.83135540287321</v>
      </c>
    </row>
    <row r="560" spans="1:7">
      <c r="A560" s="3" t="s">
        <v>18</v>
      </c>
      <c r="B560">
        <v>2</v>
      </c>
    </row>
    <row r="561" spans="1:7">
      <c r="A561" s="3" t="s">
        <v>191</v>
      </c>
      <c r="B561">
        <v>2</v>
      </c>
    </row>
    <row r="562" spans="1:7">
      <c r="A562" s="4" t="s">
        <v>192</v>
      </c>
      <c r="B562">
        <v>0</v>
      </c>
    </row>
    <row r="563" spans="1:7">
      <c r="A563" s="6" t="s">
        <v>193</v>
      </c>
      <c r="B563">
        <v>100</v>
      </c>
    </row>
    <row r="564" spans="1:7">
      <c r="A564" s="1"/>
    </row>
    <row r="565" spans="1:7">
      <c r="A565" s="4" t="s">
        <v>19</v>
      </c>
      <c r="B565">
        <v>52.679163569790717</v>
      </c>
    </row>
    <row r="566" spans="1:7">
      <c r="A566" s="1" t="s">
        <v>20</v>
      </c>
      <c r="B566">
        <v>140.26092689628518</v>
      </c>
    </row>
    <row r="567" spans="1:7">
      <c r="A567" s="1" t="s">
        <v>23</v>
      </c>
      <c r="B567">
        <v>11.843180607264468</v>
      </c>
    </row>
    <row r="568" spans="1:7">
      <c r="A568" s="1" t="s">
        <v>24</v>
      </c>
      <c r="B568">
        <v>8.3743933182137198</v>
      </c>
    </row>
    <row r="569" spans="1:7">
      <c r="A569" s="1" t="s">
        <v>21</v>
      </c>
      <c r="B569">
        <v>6.290505063240488</v>
      </c>
    </row>
    <row r="570" spans="1:7">
      <c r="A570" s="4" t="s">
        <v>22</v>
      </c>
      <c r="B570">
        <f>TDIST(ABS(B569),1,1)</f>
        <v>5.0181733213238502E-2</v>
      </c>
    </row>
    <row r="571" spans="1:7">
      <c r="A571" s="1"/>
    </row>
    <row r="572" spans="1:7">
      <c r="A572" s="5" t="s">
        <v>1882</v>
      </c>
    </row>
    <row r="573" spans="1:7">
      <c r="A573" s="4" t="s">
        <v>7</v>
      </c>
      <c r="B573" s="3" t="s">
        <v>8</v>
      </c>
      <c r="C573" s="3" t="s">
        <v>9</v>
      </c>
      <c r="D573" s="3" t="s">
        <v>10</v>
      </c>
      <c r="E573" s="3" t="s">
        <v>11</v>
      </c>
      <c r="F573" s="3" t="s">
        <v>12</v>
      </c>
      <c r="G573" s="3" t="s">
        <v>13</v>
      </c>
    </row>
    <row r="574" spans="1:7">
      <c r="A574" s="1" t="s">
        <v>1348</v>
      </c>
      <c r="B574">
        <v>296.39239558904245</v>
      </c>
      <c r="C574">
        <v>277.81162422322404</v>
      </c>
      <c r="D574">
        <v>271.11836324839965</v>
      </c>
    </row>
    <row r="575" spans="1:7">
      <c r="A575" s="1" t="s">
        <v>1466</v>
      </c>
      <c r="B575">
        <v>293.24489439692792</v>
      </c>
      <c r="C575">
        <v>271.93755507994462</v>
      </c>
      <c r="D575">
        <v>267.29365177577034</v>
      </c>
    </row>
    <row r="576" spans="1:7">
      <c r="A576" s="1"/>
    </row>
    <row r="577" spans="1:7">
      <c r="A577" s="4" t="s">
        <v>18</v>
      </c>
      <c r="B577">
        <v>2</v>
      </c>
    </row>
    <row r="578" spans="1:7">
      <c r="A578" s="4" t="s">
        <v>191</v>
      </c>
      <c r="B578">
        <v>2</v>
      </c>
    </row>
    <row r="579" spans="1:7">
      <c r="A579" s="4" t="s">
        <v>192</v>
      </c>
      <c r="B579">
        <v>0</v>
      </c>
    </row>
    <row r="580" spans="1:7">
      <c r="A580" s="6" t="s">
        <v>193</v>
      </c>
      <c r="B580">
        <v>100</v>
      </c>
    </row>
    <row r="581" spans="1:7">
      <c r="A581" s="1"/>
    </row>
    <row r="582" spans="1:7">
      <c r="A582" s="3" t="s">
        <v>19</v>
      </c>
      <c r="B582">
        <v>5.6685821394993354</v>
      </c>
    </row>
    <row r="583" spans="1:7">
      <c r="A583" t="s">
        <v>20</v>
      </c>
      <c r="B583">
        <v>2.0999334311262521</v>
      </c>
    </row>
    <row r="584" spans="1:7">
      <c r="A584" t="s">
        <v>23</v>
      </c>
      <c r="B584">
        <v>1.4491147059933702</v>
      </c>
    </row>
    <row r="585" spans="1:7">
      <c r="A585" t="s">
        <v>24</v>
      </c>
      <c r="B585">
        <v>1.0246788353250622</v>
      </c>
    </row>
    <row r="586" spans="1:7">
      <c r="A586" s="1" t="s">
        <v>21</v>
      </c>
      <c r="B586">
        <v>5.5320574057734611</v>
      </c>
    </row>
    <row r="587" spans="1:7">
      <c r="A587" s="3" t="s">
        <v>22</v>
      </c>
      <c r="B587">
        <f>TDIST(ABS(B586),1,1)</f>
        <v>5.6924445100234457E-2</v>
      </c>
    </row>
    <row r="589" spans="1:7">
      <c r="A589" s="2" t="s">
        <v>1883</v>
      </c>
    </row>
    <row r="590" spans="1:7">
      <c r="A590" s="3" t="s">
        <v>7</v>
      </c>
      <c r="B590" s="3" t="s">
        <v>8</v>
      </c>
      <c r="C590" s="3" t="s">
        <v>9</v>
      </c>
      <c r="D590" s="3" t="s">
        <v>10</v>
      </c>
      <c r="E590" s="3" t="s">
        <v>11</v>
      </c>
      <c r="F590" s="3" t="s">
        <v>12</v>
      </c>
      <c r="G590" s="3" t="s">
        <v>13</v>
      </c>
    </row>
    <row r="591" spans="1:7">
      <c r="A591" s="1" t="s">
        <v>1464</v>
      </c>
      <c r="B591">
        <v>281.71589978109995</v>
      </c>
      <c r="C591">
        <v>278.76268492480744</v>
      </c>
      <c r="D591">
        <v>278.89908256880733</v>
      </c>
    </row>
    <row r="592" spans="1:7">
      <c r="A592" s="1" t="s">
        <v>1350</v>
      </c>
      <c r="B592">
        <v>281.18456476218967</v>
      </c>
      <c r="C592">
        <v>284.21839940164546</v>
      </c>
      <c r="D592">
        <v>270.0675168792198</v>
      </c>
    </row>
    <row r="594" spans="1:7">
      <c r="A594" s="3" t="s">
        <v>18</v>
      </c>
      <c r="B594">
        <v>2</v>
      </c>
    </row>
    <row r="595" spans="1:7">
      <c r="A595" s="3" t="s">
        <v>191</v>
      </c>
      <c r="B595">
        <v>1</v>
      </c>
    </row>
    <row r="596" spans="1:7">
      <c r="A596" s="3" t="s">
        <v>192</v>
      </c>
      <c r="B596">
        <v>1</v>
      </c>
    </row>
    <row r="597" spans="1:7">
      <c r="A597" s="6" t="s">
        <v>193</v>
      </c>
      <c r="B597">
        <v>50</v>
      </c>
    </row>
    <row r="599" spans="1:7">
      <c r="A599" s="3" t="s">
        <v>19</v>
      </c>
      <c r="B599">
        <v>7.007242439212888</v>
      </c>
    </row>
    <row r="600" spans="1:7">
      <c r="A600" t="s">
        <v>20</v>
      </c>
      <c r="B600">
        <v>102.06318727696839</v>
      </c>
    </row>
    <row r="601" spans="1:7">
      <c r="A601" t="s">
        <v>23</v>
      </c>
      <c r="B601">
        <v>10.10263269039157</v>
      </c>
    </row>
    <row r="602" spans="1:7">
      <c r="A602" s="1" t="s">
        <v>24</v>
      </c>
      <c r="B602">
        <v>7.1436400832127731</v>
      </c>
    </row>
    <row r="603" spans="1:7">
      <c r="A603" t="s">
        <v>21</v>
      </c>
      <c r="B603">
        <v>0.98090642271852224</v>
      </c>
    </row>
    <row r="604" spans="1:7">
      <c r="A604" s="3" t="s">
        <v>22</v>
      </c>
      <c r="B604">
        <f>TDIST(ABS(B603),1,1)</f>
        <v>0.25306803319478927</v>
      </c>
    </row>
    <row r="606" spans="1:7">
      <c r="A606" s="2" t="s">
        <v>1884</v>
      </c>
    </row>
    <row r="607" spans="1:7">
      <c r="A607" s="4" t="s">
        <v>7</v>
      </c>
      <c r="B607" s="3" t="s">
        <v>8</v>
      </c>
      <c r="C607" s="3" t="s">
        <v>9</v>
      </c>
      <c r="D607" s="3" t="s">
        <v>10</v>
      </c>
      <c r="E607" s="3" t="s">
        <v>11</v>
      </c>
      <c r="F607" s="3" t="s">
        <v>12</v>
      </c>
      <c r="G607" s="3" t="s">
        <v>13</v>
      </c>
    </row>
    <row r="608" spans="1:7">
      <c r="A608" t="s">
        <v>1360</v>
      </c>
      <c r="B608">
        <v>285.2139104328246</v>
      </c>
      <c r="C608">
        <v>278.49406910778754</v>
      </c>
      <c r="D608">
        <v>267.06231454005933</v>
      </c>
    </row>
    <row r="609" spans="1:7">
      <c r="A609" t="s">
        <v>1471</v>
      </c>
      <c r="B609">
        <v>285.6564234882855</v>
      </c>
      <c r="C609">
        <v>268.44689914459155</v>
      </c>
      <c r="D609">
        <v>275.23231224483226</v>
      </c>
    </row>
    <row r="611" spans="1:7">
      <c r="A611" s="3" t="s">
        <v>18</v>
      </c>
      <c r="B611">
        <v>2</v>
      </c>
    </row>
    <row r="612" spans="1:7">
      <c r="A612" s="3" t="s">
        <v>191</v>
      </c>
      <c r="B612">
        <v>1</v>
      </c>
    </row>
    <row r="613" spans="1:7">
      <c r="A613" s="3" t="s">
        <v>192</v>
      </c>
      <c r="B613">
        <v>1</v>
      </c>
    </row>
    <row r="614" spans="1:7">
      <c r="A614" s="6" t="s">
        <v>193</v>
      </c>
      <c r="B614">
        <v>50</v>
      </c>
    </row>
    <row r="615" spans="1:7">
      <c r="A615" s="1"/>
    </row>
    <row r="616" spans="1:7">
      <c r="A616" s="4" t="s">
        <v>19</v>
      </c>
      <c r="B616">
        <v>2.3231707337437513</v>
      </c>
    </row>
    <row r="617" spans="1:7">
      <c r="A617" s="1" t="s">
        <v>20</v>
      </c>
      <c r="B617">
        <v>165.93259892144587</v>
      </c>
    </row>
    <row r="618" spans="1:7">
      <c r="A618" t="s">
        <v>23</v>
      </c>
      <c r="B618">
        <v>12.88148279203314</v>
      </c>
    </row>
    <row r="619" spans="1:7">
      <c r="A619" t="s">
        <v>24</v>
      </c>
      <c r="B619">
        <v>9.1085838339844543</v>
      </c>
    </row>
    <row r="620" spans="1:7">
      <c r="A620" t="s">
        <v>21</v>
      </c>
      <c r="B620">
        <v>0.25505290131665886</v>
      </c>
    </row>
    <row r="621" spans="1:7">
      <c r="A621" s="3" t="s">
        <v>22</v>
      </c>
      <c r="B621">
        <f>TDIST(ABS(B620),1,1)</f>
        <v>0.42050890127116108</v>
      </c>
    </row>
    <row r="622" spans="1:7">
      <c r="A622" s="1"/>
    </row>
    <row r="623" spans="1:7">
      <c r="A623" s="5" t="s">
        <v>1885</v>
      </c>
    </row>
    <row r="624" spans="1:7">
      <c r="A624" s="4" t="s">
        <v>7</v>
      </c>
      <c r="B624" s="3" t="s">
        <v>8</v>
      </c>
      <c r="C624" s="3" t="s">
        <v>9</v>
      </c>
      <c r="D624" s="3" t="s">
        <v>10</v>
      </c>
      <c r="E624" s="3" t="s">
        <v>11</v>
      </c>
      <c r="F624" s="3" t="s">
        <v>12</v>
      </c>
      <c r="G624" s="3" t="s">
        <v>13</v>
      </c>
    </row>
    <row r="625" spans="1:4">
      <c r="A625" s="1" t="s">
        <v>1468</v>
      </c>
      <c r="B625">
        <v>268.13959327140344</v>
      </c>
      <c r="C625">
        <v>263.70217166494308</v>
      </c>
      <c r="D625">
        <v>265.81343834604974</v>
      </c>
    </row>
    <row r="626" spans="1:4">
      <c r="A626" t="s">
        <v>1470</v>
      </c>
      <c r="B626">
        <v>270.78729045507532</v>
      </c>
      <c r="C626">
        <v>261.53287322920454</v>
      </c>
      <c r="D626">
        <v>262.04238921001928</v>
      </c>
    </row>
    <row r="628" spans="1:4">
      <c r="A628" s="3" t="s">
        <v>18</v>
      </c>
      <c r="B628">
        <v>2</v>
      </c>
    </row>
    <row r="629" spans="1:4">
      <c r="A629" s="3" t="s">
        <v>191</v>
      </c>
      <c r="B629">
        <v>0</v>
      </c>
    </row>
    <row r="630" spans="1:4">
      <c r="A630" s="4" t="s">
        <v>192</v>
      </c>
      <c r="B630">
        <v>2</v>
      </c>
    </row>
    <row r="631" spans="1:4">
      <c r="A631" s="6" t="s">
        <v>193</v>
      </c>
      <c r="B631">
        <v>0</v>
      </c>
    </row>
    <row r="632" spans="1:4">
      <c r="A632" s="1"/>
    </row>
    <row r="633" spans="1:4">
      <c r="A633" s="4" t="s">
        <v>19</v>
      </c>
      <c r="B633">
        <v>-1.310391330960698</v>
      </c>
    </row>
    <row r="634" spans="1:4">
      <c r="A634" t="s">
        <v>20</v>
      </c>
      <c r="B634">
        <v>1.2828026529428216</v>
      </c>
    </row>
    <row r="635" spans="1:4">
      <c r="A635" t="s">
        <v>23</v>
      </c>
      <c r="B635">
        <v>1.132608781946715</v>
      </c>
    </row>
    <row r="636" spans="1:4">
      <c r="A636" t="s">
        <v>24</v>
      </c>
      <c r="B636">
        <v>0.80087535014595801</v>
      </c>
    </row>
    <row r="637" spans="1:4">
      <c r="A637" t="s">
        <v>21</v>
      </c>
      <c r="B637">
        <v>-1.6361988550676227</v>
      </c>
    </row>
    <row r="638" spans="1:4">
      <c r="A638" s="4" t="s">
        <v>22</v>
      </c>
      <c r="B638">
        <f>TDIST(ABS(B637),1,1)</f>
        <v>0.17462296097083668</v>
      </c>
    </row>
    <row r="639" spans="1:4">
      <c r="A639" s="1"/>
    </row>
    <row r="640" spans="1:4">
      <c r="A640" s="5" t="s">
        <v>1886</v>
      </c>
    </row>
    <row r="641" spans="1:7">
      <c r="A641" s="4" t="s">
        <v>7</v>
      </c>
      <c r="B641" s="3" t="s">
        <v>8</v>
      </c>
      <c r="C641" s="3" t="s">
        <v>9</v>
      </c>
      <c r="D641" s="3" t="s">
        <v>10</v>
      </c>
      <c r="E641" s="3" t="s">
        <v>11</v>
      </c>
      <c r="F641" s="3" t="s">
        <v>12</v>
      </c>
      <c r="G641" s="3" t="s">
        <v>13</v>
      </c>
    </row>
    <row r="642" spans="1:7">
      <c r="A642" t="s">
        <v>1364</v>
      </c>
      <c r="B642">
        <v>258.80019831432821</v>
      </c>
      <c r="C642">
        <v>270.57497181510712</v>
      </c>
      <c r="D642">
        <v>268.89082534545003</v>
      </c>
    </row>
    <row r="643" spans="1:7">
      <c r="A643" t="s">
        <v>1365</v>
      </c>
      <c r="B643">
        <v>283.46926596379552</v>
      </c>
      <c r="C643">
        <v>264.35143190358951</v>
      </c>
      <c r="D643">
        <v>254.42753803941133</v>
      </c>
    </row>
    <row r="645" spans="1:7">
      <c r="A645" s="3" t="s">
        <v>18</v>
      </c>
      <c r="B645">
        <v>2</v>
      </c>
    </row>
    <row r="646" spans="1:7">
      <c r="A646" s="4" t="s">
        <v>191</v>
      </c>
      <c r="B646">
        <v>2</v>
      </c>
    </row>
    <row r="647" spans="1:7">
      <c r="A647" s="4" t="s">
        <v>192</v>
      </c>
      <c r="B647">
        <v>0</v>
      </c>
    </row>
    <row r="648" spans="1:7">
      <c r="A648" s="6" t="s">
        <v>193</v>
      </c>
      <c r="B648">
        <v>100</v>
      </c>
    </row>
    <row r="649" spans="1:7">
      <c r="A649" s="1"/>
    </row>
    <row r="650" spans="1:7">
      <c r="A650" s="4" t="s">
        <v>19</v>
      </c>
      <c r="B650">
        <v>5.8040201669176383</v>
      </c>
    </row>
    <row r="651" spans="1:7">
      <c r="A651" s="1" t="s">
        <v>20</v>
      </c>
      <c r="B651">
        <v>33.946718562758541</v>
      </c>
    </row>
    <row r="652" spans="1:7">
      <c r="A652" s="1" t="s">
        <v>23</v>
      </c>
      <c r="B652">
        <v>5.8263812579300494</v>
      </c>
    </row>
    <row r="653" spans="1:7">
      <c r="A653" s="1" t="s">
        <v>24</v>
      </c>
      <c r="B653">
        <v>4.1198736972605445</v>
      </c>
    </row>
    <row r="654" spans="1:7">
      <c r="A654" t="s">
        <v>21</v>
      </c>
      <c r="B654">
        <v>1.4087859467092267</v>
      </c>
    </row>
    <row r="655" spans="1:7">
      <c r="A655" s="3" t="s">
        <v>22</v>
      </c>
      <c r="B655">
        <f>TDIST(ABS(B654),1,1)</f>
        <v>0.19649064046761158</v>
      </c>
    </row>
    <row r="657" spans="1:7">
      <c r="A657" s="2" t="s">
        <v>1887</v>
      </c>
    </row>
    <row r="658" spans="1:7">
      <c r="A658" s="4" t="s">
        <v>7</v>
      </c>
      <c r="B658" s="3" t="s">
        <v>8</v>
      </c>
      <c r="C658" s="3" t="s">
        <v>9</v>
      </c>
      <c r="D658" s="3" t="s">
        <v>10</v>
      </c>
      <c r="E658" s="3" t="s">
        <v>11</v>
      </c>
      <c r="F658" s="3" t="s">
        <v>12</v>
      </c>
      <c r="G658" s="3" t="s">
        <v>13</v>
      </c>
    </row>
    <row r="659" spans="1:7">
      <c r="A659" t="s">
        <v>1366</v>
      </c>
      <c r="B659">
        <v>301.20481927710841</v>
      </c>
      <c r="C659">
        <v>263.73626373626371</v>
      </c>
      <c r="D659">
        <v>253.1645569620253</v>
      </c>
    </row>
    <row r="660" spans="1:7">
      <c r="A660" t="s">
        <v>1501</v>
      </c>
      <c r="B660">
        <v>302.94698427775143</v>
      </c>
      <c r="C660">
        <v>268.52312282446542</v>
      </c>
      <c r="D660">
        <v>257.64081838848193</v>
      </c>
    </row>
    <row r="662" spans="1:7">
      <c r="A662" s="3" t="s">
        <v>18</v>
      </c>
      <c r="B662">
        <v>2</v>
      </c>
    </row>
    <row r="663" spans="1:7">
      <c r="A663" s="4" t="s">
        <v>191</v>
      </c>
      <c r="B663">
        <v>2</v>
      </c>
    </row>
    <row r="664" spans="1:7">
      <c r="A664" s="4" t="s">
        <v>192</v>
      </c>
      <c r="B664">
        <v>0</v>
      </c>
    </row>
    <row r="665" spans="1:7">
      <c r="A665" s="6" t="s">
        <v>193</v>
      </c>
      <c r="B665">
        <v>100</v>
      </c>
    </row>
    <row r="666" spans="1:7">
      <c r="A666" s="1"/>
    </row>
    <row r="667" spans="1:7">
      <c r="A667" s="4" t="s">
        <v>19</v>
      </c>
      <c r="B667">
        <v>10.727005605110946</v>
      </c>
    </row>
    <row r="668" spans="1:7">
      <c r="A668" s="1" t="s">
        <v>20</v>
      </c>
      <c r="B668">
        <v>4.8235453740754899E-2</v>
      </c>
    </row>
    <row r="669" spans="1:7">
      <c r="A669" s="1" t="s">
        <v>23</v>
      </c>
      <c r="B669">
        <v>0.21962571284063007</v>
      </c>
    </row>
    <row r="670" spans="1:7">
      <c r="A670" t="s">
        <v>24</v>
      </c>
      <c r="B670">
        <v>0.15529883087253893</v>
      </c>
    </row>
    <row r="671" spans="1:7">
      <c r="A671" t="s">
        <v>21</v>
      </c>
      <c r="B671">
        <v>69.073318484381289</v>
      </c>
    </row>
    <row r="672" spans="1:7">
      <c r="A672" s="3" t="s">
        <v>22</v>
      </c>
      <c r="B672">
        <f>TDIST(ABS(B671),1,1)</f>
        <v>4.6079681310973834E-3</v>
      </c>
    </row>
    <row r="674" spans="1:7">
      <c r="A674" s="5" t="s">
        <v>1888</v>
      </c>
    </row>
    <row r="675" spans="1:7">
      <c r="A675" s="4" t="s">
        <v>7</v>
      </c>
      <c r="B675" s="3" t="s">
        <v>8</v>
      </c>
      <c r="C675" s="3" t="s">
        <v>9</v>
      </c>
      <c r="D675" s="3" t="s">
        <v>10</v>
      </c>
      <c r="E675" s="3" t="s">
        <v>11</v>
      </c>
      <c r="F675" s="3" t="s">
        <v>12</v>
      </c>
      <c r="G675" s="3" t="s">
        <v>13</v>
      </c>
    </row>
    <row r="676" spans="1:7">
      <c r="A676" s="1" t="s">
        <v>1672</v>
      </c>
      <c r="B676" t="e">
        <f>NA()</f>
        <v>#N/A</v>
      </c>
      <c r="C676">
        <v>354.85460818137011</v>
      </c>
      <c r="D676">
        <v>286.90071725179308</v>
      </c>
      <c r="E676" t="s">
        <v>14</v>
      </c>
    </row>
    <row r="677" spans="1:7">
      <c r="A677" s="1" t="s">
        <v>1674</v>
      </c>
      <c r="B677">
        <v>413.49347049863917</v>
      </c>
      <c r="C677">
        <v>415.48684021285771</v>
      </c>
      <c r="D677">
        <v>300.33788011512956</v>
      </c>
    </row>
    <row r="678" spans="1:7">
      <c r="A678" s="1" t="s">
        <v>1676</v>
      </c>
      <c r="B678">
        <v>331.59073935772966</v>
      </c>
      <c r="C678">
        <v>269.83135540287321</v>
      </c>
      <c r="D678">
        <v>261.88166828322022</v>
      </c>
    </row>
    <row r="679" spans="1:7">
      <c r="A679" s="1" t="s">
        <v>1677</v>
      </c>
      <c r="B679">
        <v>284.85567817369122</v>
      </c>
      <c r="C679">
        <v>267.82393056416618</v>
      </c>
      <c r="D679">
        <v>258.12619502868068</v>
      </c>
    </row>
    <row r="680" spans="1:7">
      <c r="A680" s="1"/>
    </row>
    <row r="681" spans="1:7">
      <c r="A681" s="3" t="s">
        <v>18</v>
      </c>
      <c r="B681">
        <v>4</v>
      </c>
    </row>
    <row r="682" spans="1:7">
      <c r="A682" s="3" t="s">
        <v>191</v>
      </c>
      <c r="B682">
        <v>4</v>
      </c>
    </row>
    <row r="683" spans="1:7">
      <c r="A683" s="3" t="s">
        <v>192</v>
      </c>
      <c r="B683">
        <v>0</v>
      </c>
    </row>
    <row r="684" spans="1:7">
      <c r="A684" s="6" t="s">
        <v>193</v>
      </c>
      <c r="B684">
        <v>100</v>
      </c>
    </row>
    <row r="685" spans="1:7">
      <c r="A685" s="1"/>
    </row>
    <row r="686" spans="1:7">
      <c r="A686" s="3" t="s">
        <v>19</v>
      </c>
      <c r="B686">
        <v>50.187568420610916</v>
      </c>
    </row>
    <row r="687" spans="1:7">
      <c r="A687" t="s">
        <v>20</v>
      </c>
      <c r="B687">
        <v>2653.0299359932087</v>
      </c>
    </row>
    <row r="688" spans="1:7">
      <c r="A688" t="s">
        <v>23</v>
      </c>
      <c r="B688">
        <v>51.507571637509848</v>
      </c>
    </row>
    <row r="689" spans="1:7">
      <c r="A689" t="s">
        <v>24</v>
      </c>
      <c r="B689">
        <v>25.753785818754924</v>
      </c>
    </row>
    <row r="690" spans="1:7">
      <c r="A690" s="1" t="s">
        <v>21</v>
      </c>
      <c r="B690">
        <v>1.9487452747262637</v>
      </c>
    </row>
    <row r="691" spans="1:7">
      <c r="A691" s="3" t="s">
        <v>22</v>
      </c>
      <c r="B691">
        <f>TDIST(ABS(B690),3,1)</f>
        <v>7.3226649116946194E-2</v>
      </c>
    </row>
    <row r="693" spans="1:7">
      <c r="A693" s="2" t="s">
        <v>1889</v>
      </c>
    </row>
    <row r="694" spans="1:7">
      <c r="A694" s="3" t="s">
        <v>7</v>
      </c>
      <c r="B694" s="3" t="s">
        <v>8</v>
      </c>
      <c r="C694" s="3" t="s">
        <v>9</v>
      </c>
      <c r="D694" s="3" t="s">
        <v>10</v>
      </c>
      <c r="E694" s="3" t="s">
        <v>11</v>
      </c>
      <c r="F694" s="3" t="s">
        <v>12</v>
      </c>
      <c r="G694" s="3" t="s">
        <v>13</v>
      </c>
    </row>
    <row r="695" spans="1:7">
      <c r="A695" s="1" t="s">
        <v>1673</v>
      </c>
      <c r="B695">
        <v>352.31236355423954</v>
      </c>
      <c r="C695">
        <v>331.6999623068225</v>
      </c>
      <c r="D695">
        <v>277.02962677953059</v>
      </c>
    </row>
    <row r="696" spans="1:7">
      <c r="A696" s="1" t="s">
        <v>1675</v>
      </c>
      <c r="B696">
        <v>286.99675726831481</v>
      </c>
      <c r="C696">
        <v>279.9015161332124</v>
      </c>
      <c r="D696">
        <v>255.35110777318815</v>
      </c>
    </row>
    <row r="697" spans="1:7">
      <c r="A697" s="1" t="s">
        <v>1678</v>
      </c>
      <c r="B697">
        <v>304.06835162112333</v>
      </c>
      <c r="C697">
        <v>279.27486526212641</v>
      </c>
      <c r="D697">
        <v>284.7478949679321</v>
      </c>
    </row>
    <row r="698" spans="1:7">
      <c r="A698" s="1" t="s">
        <v>1679</v>
      </c>
      <c r="B698">
        <v>330.06601320264053</v>
      </c>
      <c r="C698">
        <v>306.83063436016073</v>
      </c>
      <c r="D698">
        <v>295.9309494451295</v>
      </c>
    </row>
    <row r="699" spans="1:7">
      <c r="A699" s="1"/>
    </row>
    <row r="700" spans="1:7">
      <c r="A700" s="4" t="s">
        <v>18</v>
      </c>
      <c r="B700">
        <v>4</v>
      </c>
    </row>
    <row r="701" spans="1:7">
      <c r="A701" s="4" t="s">
        <v>191</v>
      </c>
      <c r="B701">
        <v>3</v>
      </c>
    </row>
    <row r="702" spans="1:7">
      <c r="A702" s="4" t="s">
        <v>192</v>
      </c>
      <c r="B702">
        <v>1</v>
      </c>
    </row>
    <row r="703" spans="1:7">
      <c r="A703" s="6" t="s">
        <v>193</v>
      </c>
      <c r="B703">
        <v>75</v>
      </c>
    </row>
    <row r="704" spans="1:7">
      <c r="A704" s="1"/>
    </row>
    <row r="705" spans="1:7">
      <c r="A705" s="4" t="s">
        <v>19</v>
      </c>
      <c r="B705">
        <v>21.161849774135426</v>
      </c>
    </row>
    <row r="706" spans="1:7">
      <c r="A706" s="1" t="s">
        <v>20</v>
      </c>
      <c r="B706">
        <v>649.67659308863767</v>
      </c>
    </row>
    <row r="707" spans="1:7">
      <c r="A707" s="1" t="s">
        <v>23</v>
      </c>
      <c r="B707">
        <v>25.488754247484078</v>
      </c>
    </row>
    <row r="708" spans="1:7">
      <c r="A708" s="1" t="s">
        <v>24</v>
      </c>
      <c r="B708">
        <v>12.744377123742039</v>
      </c>
    </row>
    <row r="709" spans="1:7">
      <c r="A709" t="s">
        <v>21</v>
      </c>
      <c r="B709">
        <v>1.6604852138840211</v>
      </c>
    </row>
    <row r="710" spans="1:7">
      <c r="A710" s="3" t="s">
        <v>22</v>
      </c>
      <c r="B710">
        <f>TDIST(ABS(B709),3,1)</f>
        <v>9.7700397199913691E-2</v>
      </c>
    </row>
    <row r="712" spans="1:7">
      <c r="A712" s="2" t="s">
        <v>1890</v>
      </c>
    </row>
    <row r="713" spans="1:7">
      <c r="A713" s="4" t="s">
        <v>7</v>
      </c>
      <c r="B713" s="3" t="s">
        <v>8</v>
      </c>
      <c r="C713" s="3" t="s">
        <v>9</v>
      </c>
      <c r="D713" s="3" t="s">
        <v>10</v>
      </c>
      <c r="E713" s="3" t="s">
        <v>11</v>
      </c>
      <c r="F713" s="3" t="s">
        <v>12</v>
      </c>
      <c r="G713" s="3" t="s">
        <v>13</v>
      </c>
    </row>
    <row r="714" spans="1:7">
      <c r="A714" s="1" t="s">
        <v>1680</v>
      </c>
      <c r="B714">
        <v>262.92856609317033</v>
      </c>
      <c r="C714">
        <v>272.07456858546419</v>
      </c>
      <c r="D714">
        <v>244.21266853218012</v>
      </c>
    </row>
    <row r="715" spans="1:7">
      <c r="A715" s="1" t="s">
        <v>1682</v>
      </c>
      <c r="B715">
        <v>267.43458119444097</v>
      </c>
      <c r="C715">
        <v>253.66824173091271</v>
      </c>
      <c r="D715">
        <v>265.76341844710782</v>
      </c>
    </row>
    <row r="716" spans="1:7">
      <c r="A716" s="1" t="s">
        <v>1684</v>
      </c>
      <c r="B716" t="e">
        <f>NA()</f>
        <v>#N/A</v>
      </c>
      <c r="C716">
        <v>288.24273072060686</v>
      </c>
      <c r="D716">
        <v>273.24478178368122</v>
      </c>
      <c r="E716" t="s">
        <v>152</v>
      </c>
    </row>
    <row r="717" spans="1:7">
      <c r="A717" s="1" t="s">
        <v>1685</v>
      </c>
      <c r="B717">
        <v>299.07287409032</v>
      </c>
      <c r="C717">
        <v>272.45206861755804</v>
      </c>
      <c r="D717">
        <v>268.6901355890036</v>
      </c>
    </row>
    <row r="718" spans="1:7">
      <c r="A718" s="1"/>
    </row>
    <row r="719" spans="1:7">
      <c r="A719" s="4" t="s">
        <v>18</v>
      </c>
      <c r="B719">
        <v>4</v>
      </c>
    </row>
    <row r="720" spans="1:7">
      <c r="A720" s="4" t="s">
        <v>191</v>
      </c>
      <c r="B720">
        <v>3</v>
      </c>
    </row>
    <row r="721" spans="1:7">
      <c r="A721" s="4" t="s">
        <v>192</v>
      </c>
      <c r="B721">
        <v>1</v>
      </c>
    </row>
    <row r="722" spans="1:7">
      <c r="A722" s="6" t="s">
        <v>193</v>
      </c>
      <c r="B722">
        <v>75</v>
      </c>
    </row>
    <row r="723" spans="1:7">
      <c r="A723" s="1"/>
    </row>
    <row r="724" spans="1:7">
      <c r="A724" s="4" t="s">
        <v>19</v>
      </c>
      <c r="B724">
        <v>8.6316513256422596</v>
      </c>
    </row>
    <row r="725" spans="1:7">
      <c r="A725" s="1" t="s">
        <v>20</v>
      </c>
      <c r="B725">
        <v>287.88258945709669</v>
      </c>
    </row>
    <row r="726" spans="1:7">
      <c r="A726" s="1" t="s">
        <v>23</v>
      </c>
      <c r="B726">
        <v>16.967103154548706</v>
      </c>
    </row>
    <row r="727" spans="1:7">
      <c r="A727" t="s">
        <v>24</v>
      </c>
      <c r="B727">
        <v>8.4835515772743531</v>
      </c>
    </row>
    <row r="728" spans="1:7">
      <c r="A728" t="s">
        <v>21</v>
      </c>
      <c r="B728">
        <v>1.0174572815428664</v>
      </c>
    </row>
    <row r="729" spans="1:7">
      <c r="A729" s="3" t="s">
        <v>22</v>
      </c>
      <c r="B729">
        <f>TDIST(ABS(B728),3,1)</f>
        <v>0.19192325637309932</v>
      </c>
    </row>
    <row r="731" spans="1:7">
      <c r="A731" s="5" t="s">
        <v>1891</v>
      </c>
    </row>
    <row r="732" spans="1:7">
      <c r="A732" s="3" t="s">
        <v>7</v>
      </c>
      <c r="B732" s="3" t="s">
        <v>8</v>
      </c>
      <c r="C732" s="3" t="s">
        <v>9</v>
      </c>
      <c r="D732" s="3" t="s">
        <v>10</v>
      </c>
      <c r="E732" s="3" t="s">
        <v>11</v>
      </c>
      <c r="F732" s="3" t="s">
        <v>12</v>
      </c>
      <c r="G732" s="3" t="s">
        <v>13</v>
      </c>
    </row>
    <row r="733" spans="1:7">
      <c r="A733" t="s">
        <v>1681</v>
      </c>
      <c r="B733">
        <v>259.40728451851294</v>
      </c>
      <c r="C733">
        <v>260.14693484282787</v>
      </c>
      <c r="D733">
        <v>239.61063272182702</v>
      </c>
    </row>
    <row r="734" spans="1:7">
      <c r="A734" t="s">
        <v>1683</v>
      </c>
      <c r="B734">
        <v>275.38039411324519</v>
      </c>
      <c r="C734">
        <v>265.29108327192341</v>
      </c>
      <c r="D734">
        <v>243.98493697431618</v>
      </c>
    </row>
    <row r="735" spans="1:7">
      <c r="A735" t="s">
        <v>1686</v>
      </c>
      <c r="B735">
        <v>319.64617781575112</v>
      </c>
      <c r="C735">
        <v>271.32269815349832</v>
      </c>
      <c r="D735">
        <v>275.29560598059834</v>
      </c>
    </row>
    <row r="736" spans="1:7">
      <c r="A736" s="1" t="s">
        <v>1687</v>
      </c>
      <c r="B736">
        <v>289.70357649518405</v>
      </c>
      <c r="C736">
        <v>272.24602974539954</v>
      </c>
      <c r="D736">
        <v>259.90572047394573</v>
      </c>
    </row>
    <row r="738" spans="1:7">
      <c r="A738" s="3" t="s">
        <v>18</v>
      </c>
      <c r="B738">
        <v>4</v>
      </c>
    </row>
    <row r="739" spans="1:7">
      <c r="A739" s="3" t="s">
        <v>191</v>
      </c>
      <c r="B739">
        <v>3</v>
      </c>
    </row>
    <row r="740" spans="1:7">
      <c r="A740" s="3" t="s">
        <v>192</v>
      </c>
      <c r="B740">
        <v>1</v>
      </c>
    </row>
    <row r="741" spans="1:7">
      <c r="A741" s="6" t="s">
        <v>193</v>
      </c>
      <c r="B741">
        <v>75</v>
      </c>
    </row>
    <row r="743" spans="1:7">
      <c r="A743" s="3" t="s">
        <v>19</v>
      </c>
      <c r="B743">
        <v>12.552462465740469</v>
      </c>
    </row>
    <row r="744" spans="1:7">
      <c r="A744" t="s">
        <v>20</v>
      </c>
      <c r="B744">
        <v>137.83384952084489</v>
      </c>
    </row>
    <row r="745" spans="1:7">
      <c r="A745" t="s">
        <v>23</v>
      </c>
      <c r="B745">
        <v>11.740266160562328</v>
      </c>
    </row>
    <row r="746" spans="1:7">
      <c r="A746" s="1" t="s">
        <v>24</v>
      </c>
      <c r="B746">
        <v>5.870133080281164</v>
      </c>
    </row>
    <row r="747" spans="1:7">
      <c r="A747" s="1" t="s">
        <v>21</v>
      </c>
      <c r="B747">
        <v>2.1383607993328897</v>
      </c>
    </row>
    <row r="748" spans="1:7">
      <c r="A748" s="4" t="s">
        <v>22</v>
      </c>
      <c r="B748">
        <f>TDIST(ABS(B747),3,1)</f>
        <v>6.1021002153225173E-2</v>
      </c>
    </row>
    <row r="749" spans="1:7">
      <c r="A749" s="1"/>
    </row>
    <row r="750" spans="1:7">
      <c r="A750" s="2" t="s">
        <v>1807</v>
      </c>
    </row>
    <row r="751" spans="1:7">
      <c r="A751" s="3" t="s">
        <v>7</v>
      </c>
      <c r="B751" s="3" t="s">
        <v>8</v>
      </c>
      <c r="C751" s="3" t="s">
        <v>9</v>
      </c>
      <c r="D751" s="3" t="s">
        <v>10</v>
      </c>
      <c r="E751" s="3" t="s">
        <v>11</v>
      </c>
      <c r="F751" s="3" t="s">
        <v>12</v>
      </c>
      <c r="G751" s="3" t="s">
        <v>13</v>
      </c>
    </row>
    <row r="752" spans="1:7">
      <c r="A752" t="s">
        <v>1688</v>
      </c>
      <c r="B752">
        <v>260.21285611026644</v>
      </c>
      <c r="C752">
        <v>269.77143286583635</v>
      </c>
      <c r="D752">
        <v>239.34181002243827</v>
      </c>
    </row>
    <row r="753" spans="1:7">
      <c r="A753" t="s">
        <v>1691</v>
      </c>
      <c r="B753">
        <v>233.83631457979413</v>
      </c>
      <c r="C753">
        <v>250</v>
      </c>
      <c r="D753" t="e">
        <f>NA()</f>
        <v>#N/A</v>
      </c>
      <c r="G753" t="s">
        <v>17</v>
      </c>
    </row>
    <row r="754" spans="1:7">
      <c r="A754" s="1" t="s">
        <v>1692</v>
      </c>
      <c r="B754" t="e">
        <f>NA()</f>
        <v>#N/A</v>
      </c>
      <c r="C754">
        <v>262.2445044350174</v>
      </c>
      <c r="D754">
        <v>261.40626890959703</v>
      </c>
      <c r="E754" t="s">
        <v>43</v>
      </c>
    </row>
    <row r="755" spans="1:7">
      <c r="A755" s="1" t="s">
        <v>1695</v>
      </c>
      <c r="B755">
        <v>312.17950321434824</v>
      </c>
      <c r="C755">
        <v>266.27218934911247</v>
      </c>
      <c r="D755">
        <v>247.42268041237114</v>
      </c>
    </row>
    <row r="756" spans="1:7">
      <c r="A756" s="1"/>
    </row>
    <row r="757" spans="1:7">
      <c r="A757" s="3" t="s">
        <v>18</v>
      </c>
      <c r="B757">
        <v>3</v>
      </c>
    </row>
    <row r="758" spans="1:7">
      <c r="A758" s="3" t="s">
        <v>191</v>
      </c>
      <c r="B758">
        <v>3</v>
      </c>
    </row>
    <row r="759" spans="1:7">
      <c r="A759" s="3" t="s">
        <v>192</v>
      </c>
      <c r="B759">
        <v>0</v>
      </c>
    </row>
    <row r="760" spans="1:7">
      <c r="A760" s="6" t="s">
        <v>193</v>
      </c>
      <c r="B760">
        <v>100</v>
      </c>
    </row>
    <row r="761" spans="1:7">
      <c r="A761" s="1"/>
    </row>
    <row r="762" spans="1:7">
      <c r="A762" s="3" t="s">
        <v>19</v>
      </c>
      <c r="B762">
        <v>16.705789101853259</v>
      </c>
    </row>
    <row r="763" spans="1:7">
      <c r="A763" t="s">
        <v>20</v>
      </c>
      <c r="B763">
        <v>222.35920189851237</v>
      </c>
    </row>
    <row r="764" spans="1:7">
      <c r="A764" t="s">
        <v>23</v>
      </c>
      <c r="B764">
        <v>14.911713580219825</v>
      </c>
    </row>
    <row r="765" spans="1:7">
      <c r="A765" t="s">
        <v>24</v>
      </c>
      <c r="B765">
        <v>8.6092818496185135</v>
      </c>
    </row>
    <row r="766" spans="1:7">
      <c r="A766" s="1" t="s">
        <v>21</v>
      </c>
      <c r="B766">
        <v>1.9404393297442701</v>
      </c>
    </row>
    <row r="767" spans="1:7">
      <c r="A767" s="4" t="s">
        <v>22</v>
      </c>
      <c r="B767">
        <f>TDIST(ABS(B766),2,1)</f>
        <v>9.5927832809173871E-2</v>
      </c>
    </row>
    <row r="768" spans="1:7">
      <c r="A768" s="1"/>
    </row>
    <row r="769" spans="1:7">
      <c r="A769" s="5" t="s">
        <v>1808</v>
      </c>
    </row>
    <row r="770" spans="1:7">
      <c r="A770" s="4" t="s">
        <v>7</v>
      </c>
      <c r="B770" s="3" t="s">
        <v>8</v>
      </c>
      <c r="C770" s="3" t="s">
        <v>9</v>
      </c>
      <c r="D770" s="3" t="s">
        <v>10</v>
      </c>
      <c r="E770" s="3" t="s">
        <v>11</v>
      </c>
      <c r="F770" s="3" t="s">
        <v>12</v>
      </c>
      <c r="G770" s="3" t="s">
        <v>13</v>
      </c>
    </row>
    <row r="771" spans="1:7">
      <c r="A771" s="1" t="s">
        <v>1689</v>
      </c>
      <c r="B771">
        <v>280.06424412768519</v>
      </c>
      <c r="C771">
        <v>258.88324873096445</v>
      </c>
      <c r="D771">
        <v>243.96442185514616</v>
      </c>
    </row>
    <row r="772" spans="1:7">
      <c r="A772" s="1" t="s">
        <v>1690</v>
      </c>
      <c r="B772">
        <v>287.11503082112057</v>
      </c>
      <c r="C772">
        <v>254.74525474525473</v>
      </c>
      <c r="D772">
        <v>238.65755127408329</v>
      </c>
    </row>
    <row r="773" spans="1:7">
      <c r="A773" t="s">
        <v>1693</v>
      </c>
      <c r="B773">
        <v>302.56307143230009</v>
      </c>
      <c r="C773">
        <v>261.75472612699951</v>
      </c>
      <c r="D773">
        <v>257.08884688090734</v>
      </c>
    </row>
    <row r="774" spans="1:7">
      <c r="A774" t="s">
        <v>1694</v>
      </c>
      <c r="B774">
        <v>311.07654034351231</v>
      </c>
      <c r="C774">
        <v>277.2429726607624</v>
      </c>
      <c r="D774">
        <v>265.00389711613406</v>
      </c>
    </row>
    <row r="776" spans="1:7">
      <c r="A776" s="3" t="s">
        <v>18</v>
      </c>
      <c r="B776">
        <v>4</v>
      </c>
    </row>
    <row r="777" spans="1:7">
      <c r="A777" s="4" t="s">
        <v>191</v>
      </c>
      <c r="B777">
        <v>4</v>
      </c>
    </row>
    <row r="778" spans="1:7">
      <c r="A778" s="4" t="s">
        <v>192</v>
      </c>
      <c r="B778">
        <v>0</v>
      </c>
    </row>
    <row r="779" spans="1:7">
      <c r="A779" s="6" t="s">
        <v>193</v>
      </c>
      <c r="B779">
        <v>100</v>
      </c>
    </row>
    <row r="780" spans="1:7">
      <c r="A780" s="1"/>
    </row>
    <row r="781" spans="1:7">
      <c r="A781" s="3" t="s">
        <v>19</v>
      </c>
      <c r="B781">
        <v>11.977871284427565</v>
      </c>
    </row>
    <row r="782" spans="1:7">
      <c r="A782" t="s">
        <v>20</v>
      </c>
      <c r="B782">
        <v>26.357798542651839</v>
      </c>
    </row>
    <row r="783" spans="1:7">
      <c r="A783" t="s">
        <v>23</v>
      </c>
      <c r="B783">
        <v>5.1339846652139345</v>
      </c>
    </row>
    <row r="784" spans="1:7">
      <c r="A784" t="s">
        <v>24</v>
      </c>
      <c r="B784">
        <v>2.5669923326069672</v>
      </c>
    </row>
    <row r="785" spans="1:7">
      <c r="A785" s="1" t="s">
        <v>21</v>
      </c>
      <c r="B785">
        <v>4.666111048435881</v>
      </c>
    </row>
    <row r="786" spans="1:7">
      <c r="A786" s="3" t="s">
        <v>22</v>
      </c>
      <c r="B786">
        <f>TDIST(ABS(B785),3,1)</f>
        <v>9.2908015602444095E-3</v>
      </c>
    </row>
    <row r="788" spans="1:7">
      <c r="A788" s="2" t="s">
        <v>1892</v>
      </c>
    </row>
    <row r="789" spans="1:7">
      <c r="A789" s="3" t="s">
        <v>7</v>
      </c>
      <c r="B789" s="3" t="s">
        <v>8</v>
      </c>
      <c r="C789" s="3" t="s">
        <v>9</v>
      </c>
      <c r="D789" s="3" t="s">
        <v>10</v>
      </c>
      <c r="E789" s="3" t="s">
        <v>11</v>
      </c>
      <c r="F789" s="3" t="s">
        <v>12</v>
      </c>
      <c r="G789" s="3" t="s">
        <v>13</v>
      </c>
    </row>
    <row r="790" spans="1:7">
      <c r="A790" s="1" t="s">
        <v>1696</v>
      </c>
      <c r="B790">
        <v>285.65701112558884</v>
      </c>
      <c r="C790">
        <v>310.71983428275502</v>
      </c>
      <c r="D790">
        <v>262.2445044350174</v>
      </c>
    </row>
    <row r="791" spans="1:7">
      <c r="A791" s="1" t="s">
        <v>1698</v>
      </c>
      <c r="B791">
        <v>302.87884846061576</v>
      </c>
      <c r="C791">
        <v>275.75641516660284</v>
      </c>
      <c r="D791">
        <v>249.80483996877442</v>
      </c>
    </row>
    <row r="792" spans="1:7">
      <c r="A792" s="1"/>
    </row>
    <row r="793" spans="1:7">
      <c r="A793" s="4" t="s">
        <v>18</v>
      </c>
      <c r="B793">
        <v>2</v>
      </c>
    </row>
    <row r="794" spans="1:7">
      <c r="A794" s="3" t="s">
        <v>191</v>
      </c>
      <c r="B794">
        <v>2</v>
      </c>
    </row>
    <row r="795" spans="1:7">
      <c r="A795" s="3" t="s">
        <v>192</v>
      </c>
      <c r="B795">
        <v>0</v>
      </c>
    </row>
    <row r="796" spans="1:7">
      <c r="A796" s="6" t="s">
        <v>193</v>
      </c>
      <c r="B796">
        <v>100</v>
      </c>
    </row>
    <row r="798" spans="1:7">
      <c r="A798" s="4" t="s">
        <v>19</v>
      </c>
      <c r="B798">
        <v>37.213452522783015</v>
      </c>
    </row>
    <row r="799" spans="1:7">
      <c r="A799" s="1" t="s">
        <v>20</v>
      </c>
      <c r="B799">
        <v>253.65976176465301</v>
      </c>
    </row>
    <row r="800" spans="1:7">
      <c r="A800" s="1" t="s">
        <v>23</v>
      </c>
      <c r="B800">
        <v>15.926699650732823</v>
      </c>
    </row>
    <row r="801" spans="1:7">
      <c r="A801" s="1" t="s">
        <v>24</v>
      </c>
      <c r="B801">
        <v>11.261877324954597</v>
      </c>
    </row>
    <row r="802" spans="1:7">
      <c r="A802" t="s">
        <v>21</v>
      </c>
      <c r="B802">
        <v>3.3043738134426044</v>
      </c>
    </row>
    <row r="803" spans="1:7">
      <c r="A803" s="3" t="s">
        <v>22</v>
      </c>
      <c r="B803">
        <f>TDIST(ABS(B802),1,1)</f>
        <v>9.3540820538765418E-2</v>
      </c>
    </row>
    <row r="805" spans="1:7">
      <c r="A805" s="2" t="s">
        <v>1893</v>
      </c>
    </row>
    <row r="806" spans="1:7">
      <c r="A806" s="4" t="s">
        <v>7</v>
      </c>
      <c r="B806" s="3" t="s">
        <v>8</v>
      </c>
      <c r="C806" s="3" t="s">
        <v>9</v>
      </c>
      <c r="D806" s="3" t="s">
        <v>10</v>
      </c>
      <c r="E806" s="3" t="s">
        <v>11</v>
      </c>
      <c r="F806" s="3" t="s">
        <v>12</v>
      </c>
      <c r="G806" s="3" t="s">
        <v>13</v>
      </c>
    </row>
    <row r="807" spans="1:7">
      <c r="A807" t="s">
        <v>1697</v>
      </c>
      <c r="B807">
        <v>299.23694578824001</v>
      </c>
      <c r="C807">
        <v>288.04608737397984</v>
      </c>
      <c r="D807">
        <v>253.57364822871349</v>
      </c>
    </row>
    <row r="808" spans="1:7">
      <c r="A808" t="s">
        <v>1699</v>
      </c>
      <c r="B808">
        <v>298.0922098569157</v>
      </c>
      <c r="C808">
        <v>269.12534263643158</v>
      </c>
      <c r="D808">
        <v>250.24533856722277</v>
      </c>
    </row>
    <row r="810" spans="1:7">
      <c r="A810" s="3" t="s">
        <v>18</v>
      </c>
      <c r="B810">
        <v>2</v>
      </c>
    </row>
    <row r="811" spans="1:7">
      <c r="A811" s="4" t="s">
        <v>191</v>
      </c>
      <c r="B811">
        <v>2</v>
      </c>
    </row>
    <row r="812" spans="1:7">
      <c r="A812" s="4" t="s">
        <v>192</v>
      </c>
      <c r="B812">
        <v>0</v>
      </c>
    </row>
    <row r="813" spans="1:7">
      <c r="A813" s="6" t="s">
        <v>193</v>
      </c>
      <c r="B813">
        <v>100</v>
      </c>
    </row>
    <row r="815" spans="1:7">
      <c r="A815" s="3" t="s">
        <v>19</v>
      </c>
      <c r="B815">
        <v>26.676221607237579</v>
      </c>
    </row>
    <row r="816" spans="1:7">
      <c r="A816" t="s">
        <v>20</v>
      </c>
      <c r="B816">
        <v>121.56201580053477</v>
      </c>
    </row>
    <row r="817" spans="1:7">
      <c r="A817" t="s">
        <v>23</v>
      </c>
      <c r="B817">
        <v>11.025516577491269</v>
      </c>
    </row>
    <row r="818" spans="1:7">
      <c r="A818" s="1" t="s">
        <v>24</v>
      </c>
      <c r="B818">
        <v>7.7962175380287704</v>
      </c>
    </row>
    <row r="819" spans="1:7">
      <c r="A819" s="1" t="s">
        <v>21</v>
      </c>
      <c r="B819">
        <v>3.4216876936944107</v>
      </c>
    </row>
    <row r="820" spans="1:7">
      <c r="A820" s="4" t="s">
        <v>22</v>
      </c>
      <c r="B820">
        <f>TDIST(ABS(B819),1,1)</f>
        <v>9.0506576026071081E-2</v>
      </c>
    </row>
    <row r="821" spans="1:7">
      <c r="A821" s="1"/>
    </row>
    <row r="822" spans="1:7">
      <c r="A822" s="2" t="s">
        <v>1894</v>
      </c>
    </row>
    <row r="823" spans="1:7">
      <c r="A823" s="3" t="s">
        <v>7</v>
      </c>
      <c r="B823" s="3" t="s">
        <v>8</v>
      </c>
      <c r="C823" s="3" t="s">
        <v>9</v>
      </c>
      <c r="D823" s="3" t="s">
        <v>10</v>
      </c>
      <c r="E823" s="3" t="s">
        <v>11</v>
      </c>
      <c r="F823" s="3" t="s">
        <v>12</v>
      </c>
      <c r="G823" s="3" t="s">
        <v>13</v>
      </c>
    </row>
    <row r="824" spans="1:7">
      <c r="A824" t="s">
        <v>1700</v>
      </c>
      <c r="B824">
        <v>268.74009209632368</v>
      </c>
      <c r="C824">
        <v>265.64998155208463</v>
      </c>
      <c r="D824">
        <v>246.40657084188913</v>
      </c>
    </row>
    <row r="825" spans="1:7">
      <c r="A825" t="s">
        <v>1703</v>
      </c>
      <c r="B825">
        <v>253.2471809960096</v>
      </c>
      <c r="C825">
        <v>258.93758977782284</v>
      </c>
      <c r="D825">
        <v>236.74865184795473</v>
      </c>
    </row>
    <row r="826" spans="1:7">
      <c r="A826" s="1"/>
    </row>
    <row r="827" spans="1:7">
      <c r="A827" s="4" t="s">
        <v>18</v>
      </c>
      <c r="B827">
        <v>2</v>
      </c>
    </row>
    <row r="828" spans="1:7">
      <c r="A828" s="4" t="s">
        <v>191</v>
      </c>
      <c r="B828">
        <v>2</v>
      </c>
    </row>
    <row r="829" spans="1:7">
      <c r="A829" s="4" t="s">
        <v>192</v>
      </c>
      <c r="B829">
        <v>0</v>
      </c>
    </row>
    <row r="830" spans="1:7">
      <c r="A830" s="6" t="s">
        <v>193</v>
      </c>
      <c r="B830">
        <v>100</v>
      </c>
    </row>
    <row r="832" spans="1:7">
      <c r="A832" s="3" t="s">
        <v>19</v>
      </c>
      <c r="B832">
        <v>20.716174320031797</v>
      </c>
    </row>
    <row r="833" spans="1:7">
      <c r="A833" t="s">
        <v>20</v>
      </c>
      <c r="B833">
        <v>4.3380653009161358</v>
      </c>
    </row>
    <row r="834" spans="1:7">
      <c r="A834" s="1" t="s">
        <v>23</v>
      </c>
      <c r="B834">
        <v>2.082802271200062</v>
      </c>
    </row>
    <row r="835" spans="1:7">
      <c r="A835" t="s">
        <v>24</v>
      </c>
      <c r="B835">
        <v>1.4727636098363064</v>
      </c>
    </row>
    <row r="836" spans="1:7">
      <c r="A836" t="s">
        <v>21</v>
      </c>
      <c r="B836">
        <v>14.066191058546281</v>
      </c>
    </row>
    <row r="837" spans="1:7">
      <c r="A837" s="3" t="s">
        <v>22</v>
      </c>
      <c r="B837">
        <f>TDIST(ABS(B836),1,1)</f>
        <v>2.2591421132439983E-2</v>
      </c>
    </row>
    <row r="839" spans="1:7">
      <c r="A839" s="5" t="s">
        <v>1895</v>
      </c>
    </row>
    <row r="840" spans="1:7">
      <c r="A840" s="4" t="s">
        <v>7</v>
      </c>
      <c r="B840" s="3" t="s">
        <v>8</v>
      </c>
      <c r="C840" s="3" t="s">
        <v>9</v>
      </c>
      <c r="D840" s="3" t="s">
        <v>10</v>
      </c>
      <c r="E840" s="3" t="s">
        <v>11</v>
      </c>
      <c r="F840" s="3" t="s">
        <v>12</v>
      </c>
      <c r="G840" s="3" t="s">
        <v>13</v>
      </c>
    </row>
    <row r="841" spans="1:7">
      <c r="A841" t="s">
        <v>1701</v>
      </c>
      <c r="B841">
        <v>309.12735464429517</v>
      </c>
      <c r="C841">
        <v>263.83290582631003</v>
      </c>
      <c r="D841">
        <v>251.08105802607665</v>
      </c>
    </row>
    <row r="842" spans="1:7">
      <c r="A842" t="s">
        <v>1702</v>
      </c>
      <c r="B842">
        <v>275.71738967558252</v>
      </c>
      <c r="C842">
        <v>259.27808845958316</v>
      </c>
      <c r="D842">
        <v>244.80428407497129</v>
      </c>
    </row>
    <row r="844" spans="1:7">
      <c r="A844" s="3" t="s">
        <v>18</v>
      </c>
      <c r="B844">
        <v>2</v>
      </c>
    </row>
    <row r="845" spans="1:7">
      <c r="A845" s="4" t="s">
        <v>191</v>
      </c>
      <c r="B845">
        <v>2</v>
      </c>
    </row>
    <row r="846" spans="1:7">
      <c r="A846" s="3" t="s">
        <v>192</v>
      </c>
      <c r="B846">
        <v>0</v>
      </c>
    </row>
    <row r="847" spans="1:7">
      <c r="A847" s="6" t="s">
        <v>193</v>
      </c>
      <c r="B847">
        <v>100</v>
      </c>
    </row>
    <row r="849" spans="1:7">
      <c r="A849" s="3" t="s">
        <v>19</v>
      </c>
      <c r="B849">
        <v>13.612826092422623</v>
      </c>
    </row>
    <row r="850" spans="1:7">
      <c r="A850" s="1" t="s">
        <v>20</v>
      </c>
      <c r="B850">
        <v>1.4825672392422165</v>
      </c>
    </row>
    <row r="851" spans="1:7">
      <c r="A851" s="1" t="s">
        <v>23</v>
      </c>
      <c r="B851">
        <v>1.2176071777228552</v>
      </c>
    </row>
    <row r="852" spans="1:7">
      <c r="A852" s="1" t="s">
        <v>24</v>
      </c>
      <c r="B852">
        <v>0.8609782921892446</v>
      </c>
    </row>
    <row r="853" spans="1:7">
      <c r="A853" s="1" t="s">
        <v>21</v>
      </c>
      <c r="B853">
        <v>15.810881895533898</v>
      </c>
    </row>
    <row r="854" spans="1:7">
      <c r="A854" s="3" t="s">
        <v>22</v>
      </c>
      <c r="B854">
        <f>TDIST(ABS(B853),1,1)</f>
        <v>2.0105549056718006E-2</v>
      </c>
    </row>
    <row r="856" spans="1:7">
      <c r="A856" s="2" t="s">
        <v>1896</v>
      </c>
    </row>
    <row r="857" spans="1:7">
      <c r="A857" s="3" t="s">
        <v>7</v>
      </c>
      <c r="B857" s="3" t="s">
        <v>8</v>
      </c>
      <c r="C857" s="3" t="s">
        <v>9</v>
      </c>
      <c r="D857" s="3" t="s">
        <v>10</v>
      </c>
      <c r="E857" s="3" t="s">
        <v>11</v>
      </c>
      <c r="F857" s="3" t="s">
        <v>12</v>
      </c>
      <c r="G857" s="3" t="s">
        <v>13</v>
      </c>
    </row>
    <row r="858" spans="1:7">
      <c r="A858" s="1" t="s">
        <v>1704</v>
      </c>
      <c r="B858">
        <v>289.9499131660416</v>
      </c>
      <c r="C858">
        <v>249.54128440366969</v>
      </c>
      <c r="D858">
        <v>235.29411764705881</v>
      </c>
    </row>
    <row r="859" spans="1:7">
      <c r="A859" s="1" t="s">
        <v>1706</v>
      </c>
      <c r="B859">
        <v>275.48626352834333</v>
      </c>
      <c r="C859">
        <v>256.44248900062854</v>
      </c>
      <c r="D859">
        <v>238.1247674562818</v>
      </c>
    </row>
    <row r="860" spans="1:7">
      <c r="A860" s="1"/>
    </row>
    <row r="861" spans="1:7">
      <c r="A861" s="4" t="s">
        <v>18</v>
      </c>
      <c r="B861">
        <v>2</v>
      </c>
    </row>
    <row r="862" spans="1:7">
      <c r="A862" s="4" t="s">
        <v>191</v>
      </c>
      <c r="B862">
        <v>2</v>
      </c>
    </row>
    <row r="863" spans="1:7">
      <c r="A863" s="4" t="s">
        <v>192</v>
      </c>
      <c r="B863">
        <v>0</v>
      </c>
    </row>
    <row r="864" spans="1:7">
      <c r="A864" s="6" t="s">
        <v>193</v>
      </c>
      <c r="B864">
        <v>100</v>
      </c>
    </row>
    <row r="865" spans="1:7">
      <c r="A865" s="1"/>
    </row>
    <row r="866" spans="1:7">
      <c r="A866" s="3" t="s">
        <v>19</v>
      </c>
      <c r="B866">
        <v>16.28244415047881</v>
      </c>
    </row>
    <row r="867" spans="1:7">
      <c r="A867" t="s">
        <v>20</v>
      </c>
      <c r="B867">
        <v>8.28470813997966</v>
      </c>
    </row>
    <row r="868" spans="1:7">
      <c r="A868" t="s">
        <v>23</v>
      </c>
      <c r="B868">
        <v>2.878316893599393</v>
      </c>
    </row>
    <row r="869" spans="1:7">
      <c r="A869" t="s">
        <v>24</v>
      </c>
      <c r="B869">
        <v>2.0352773938679292</v>
      </c>
    </row>
    <row r="870" spans="1:7">
      <c r="A870" s="1" t="s">
        <v>21</v>
      </c>
      <c r="B870">
        <v>8.0001105498130407</v>
      </c>
    </row>
    <row r="871" spans="1:7">
      <c r="A871" s="4" t="s">
        <v>22</v>
      </c>
      <c r="B871">
        <f>TDIST(ABS(B870),1,1)</f>
        <v>3.9582882790399204E-2</v>
      </c>
    </row>
    <row r="872" spans="1:7">
      <c r="A872" s="1"/>
    </row>
    <row r="873" spans="1:7">
      <c r="A873" s="5" t="s">
        <v>1897</v>
      </c>
    </row>
    <row r="874" spans="1:7">
      <c r="A874" s="4" t="s">
        <v>7</v>
      </c>
      <c r="B874" s="3" t="s">
        <v>8</v>
      </c>
      <c r="C874" s="3" t="s">
        <v>9</v>
      </c>
      <c r="D874" s="3" t="s">
        <v>10</v>
      </c>
      <c r="E874" s="3" t="s">
        <v>11</v>
      </c>
      <c r="F874" s="3" t="s">
        <v>12</v>
      </c>
      <c r="G874" s="3" t="s">
        <v>13</v>
      </c>
    </row>
    <row r="875" spans="1:7">
      <c r="A875" s="1" t="s">
        <v>1705</v>
      </c>
      <c r="B875">
        <v>263.08778213149481</v>
      </c>
      <c r="C875">
        <v>254.6816479400749</v>
      </c>
      <c r="D875">
        <v>226.55758338577724</v>
      </c>
    </row>
    <row r="876" spans="1:7">
      <c r="A876" s="1" t="s">
        <v>1707</v>
      </c>
      <c r="B876">
        <v>254.71344737170682</v>
      </c>
      <c r="C876">
        <v>250.52192066805844</v>
      </c>
      <c r="D876">
        <v>244.46142093200919</v>
      </c>
    </row>
    <row r="878" spans="1:7">
      <c r="A878" s="3" t="s">
        <v>18</v>
      </c>
      <c r="B878">
        <v>2</v>
      </c>
    </row>
    <row r="879" spans="1:7">
      <c r="A879" s="3" t="s">
        <v>191</v>
      </c>
      <c r="B879">
        <v>2</v>
      </c>
    </row>
    <row r="880" spans="1:7">
      <c r="A880" s="3" t="s">
        <v>192</v>
      </c>
      <c r="B880">
        <v>0</v>
      </c>
    </row>
    <row r="881" spans="1:2">
      <c r="A881" s="6" t="s">
        <v>193</v>
      </c>
      <c r="B881">
        <v>100</v>
      </c>
    </row>
    <row r="883" spans="1:2">
      <c r="A883" s="3" t="s">
        <v>19</v>
      </c>
      <c r="B883">
        <v>17.092282145173456</v>
      </c>
    </row>
    <row r="884" spans="1:2">
      <c r="A884" t="s">
        <v>20</v>
      </c>
      <c r="B884">
        <v>243.40044624452449</v>
      </c>
    </row>
    <row r="885" spans="1:2">
      <c r="A885" t="s">
        <v>23</v>
      </c>
      <c r="B885">
        <v>15.601296300132386</v>
      </c>
    </row>
    <row r="886" spans="1:2">
      <c r="A886" s="1" t="s">
        <v>24</v>
      </c>
      <c r="B886">
        <v>11.031782409124204</v>
      </c>
    </row>
    <row r="887" spans="1:2">
      <c r="A887" s="1" t="s">
        <v>21</v>
      </c>
      <c r="B887">
        <v>1.5493672292735499</v>
      </c>
    </row>
    <row r="888" spans="1:2">
      <c r="A888" s="4" t="s">
        <v>22</v>
      </c>
      <c r="B888">
        <f>TDIST(ABS(B887),1,1)</f>
        <v>0.18244000157925183</v>
      </c>
    </row>
    <row r="889" spans="1:2">
      <c r="A889" s="1"/>
    </row>
    <row r="894" spans="1:2">
      <c r="A894" s="1"/>
    </row>
    <row r="895" spans="1:2">
      <c r="A895" s="1"/>
    </row>
    <row r="896" spans="1:2">
      <c r="A896" s="1"/>
    </row>
    <row r="897" spans="1:1">
      <c r="A897" s="1"/>
    </row>
  </sheetData>
  <dataConsolidate/>
  <conditionalFormatting sqref="C1:D1048576 B1:B21 B23:B28 B30:B50 B52:B57 B59:B83 B85:B90 B92:B116 B118:B123 B125:B149 B151:B156 B158:B182 B184:B189 B191:B203 B205:B210 B212:B224 B226:B231 B233:B253 B255:B260 B262:B282 B284:B289 B291:B303 B305:B310 B312:B324 B326:B331 B333:B347 B349:B354 B356:B370 B372:B377 B379:B399 B401:B406 B408:B428 B430:B435 B437:B447 B449:B454 B456:B466 B468:B473 B475:B497 B499:B504 B506:B528 B530:B535 B537:B545 B547:B552 B554:B562 B564:B569 B571:B579 B581:B586 B588:B596 B598:B603 B605:B613 B615:B620 B622:B630 B632:B637 B639:B647 B649:B654 B656:B664 B666:B671 B673:B683 B685:B690 B692:B702 B704:B709 B711:B721 B723:B728 B730:B740 B742:B747 B749:B759 B761:B766 B768:B778 B780:B785 B787:B795 B797:B802 B804:B812 B814:B819 B821:B829 B831:B836 B838:B846 B848:B853 B855:B863 B865:B870 B872:B880 B882:B887 B889:B1048576">
    <cfRule type="containsErrors" dxfId="257" priority="1">
      <formula>ISERROR(B1)</formula>
    </cfRule>
  </conditionalFormatting>
  <conditionalFormatting sqref="B22">
    <cfRule type="cellIs" dxfId="256" priority="2" stopIfTrue="1" operator="notBetween">
      <formula>15</formula>
      <formula>85</formula>
    </cfRule>
    <cfRule type="cellIs" dxfId="255" priority="3" stopIfTrue="1" operator="notBetween">
      <formula>25</formula>
      <formula>75</formula>
    </cfRule>
  </conditionalFormatting>
  <conditionalFormatting sqref="B29">
    <cfRule type="cellIs" dxfId="254" priority="4" stopIfTrue="1" operator="lessThanOrEqual">
      <formula>0.05</formula>
    </cfRule>
    <cfRule type="cellIs" dxfId="253" priority="5" stopIfTrue="1" operator="lessThanOrEqual">
      <formula>0.1</formula>
    </cfRule>
  </conditionalFormatting>
  <conditionalFormatting sqref="B51">
    <cfRule type="cellIs" dxfId="252" priority="6" stopIfTrue="1" operator="notBetween">
      <formula>15</formula>
      <formula>85</formula>
    </cfRule>
    <cfRule type="cellIs" dxfId="251" priority="7" stopIfTrue="1" operator="notBetween">
      <formula>25</formula>
      <formula>75</formula>
    </cfRule>
  </conditionalFormatting>
  <conditionalFormatting sqref="B58">
    <cfRule type="cellIs" dxfId="250" priority="8" stopIfTrue="1" operator="lessThanOrEqual">
      <formula>0.05</formula>
    </cfRule>
    <cfRule type="cellIs" dxfId="249" priority="9" stopIfTrue="1" operator="lessThanOrEqual">
      <formula>0.1</formula>
    </cfRule>
  </conditionalFormatting>
  <conditionalFormatting sqref="B84">
    <cfRule type="cellIs" dxfId="248" priority="10" stopIfTrue="1" operator="notBetween">
      <formula>15</formula>
      <formula>85</formula>
    </cfRule>
    <cfRule type="cellIs" dxfId="247" priority="11" stopIfTrue="1" operator="notBetween">
      <formula>25</formula>
      <formula>75</formula>
    </cfRule>
  </conditionalFormatting>
  <conditionalFormatting sqref="B91">
    <cfRule type="cellIs" dxfId="246" priority="12" stopIfTrue="1" operator="lessThanOrEqual">
      <formula>0.05</formula>
    </cfRule>
    <cfRule type="cellIs" dxfId="245" priority="13" stopIfTrue="1" operator="lessThanOrEqual">
      <formula>0.1</formula>
    </cfRule>
  </conditionalFormatting>
  <conditionalFormatting sqref="B117">
    <cfRule type="cellIs" dxfId="244" priority="14" stopIfTrue="1" operator="notBetween">
      <formula>15</formula>
      <formula>85</formula>
    </cfRule>
    <cfRule type="cellIs" dxfId="243" priority="15" stopIfTrue="1" operator="notBetween">
      <formula>25</formula>
      <formula>75</formula>
    </cfRule>
  </conditionalFormatting>
  <conditionalFormatting sqref="B124">
    <cfRule type="cellIs" dxfId="242" priority="16" stopIfTrue="1" operator="lessThanOrEqual">
      <formula>0.05</formula>
    </cfRule>
    <cfRule type="cellIs" dxfId="241" priority="17" stopIfTrue="1" operator="lessThanOrEqual">
      <formula>0.1</formula>
    </cfRule>
  </conditionalFormatting>
  <conditionalFormatting sqref="B150">
    <cfRule type="cellIs" dxfId="240" priority="18" stopIfTrue="1" operator="notBetween">
      <formula>15</formula>
      <formula>85</formula>
    </cfRule>
    <cfRule type="cellIs" dxfId="239" priority="19" stopIfTrue="1" operator="notBetween">
      <formula>25</formula>
      <formula>75</formula>
    </cfRule>
  </conditionalFormatting>
  <conditionalFormatting sqref="B157">
    <cfRule type="cellIs" dxfId="238" priority="20" stopIfTrue="1" operator="lessThanOrEqual">
      <formula>0.05</formula>
    </cfRule>
    <cfRule type="cellIs" dxfId="237" priority="21" stopIfTrue="1" operator="lessThanOrEqual">
      <formula>0.1</formula>
    </cfRule>
  </conditionalFormatting>
  <conditionalFormatting sqref="B183">
    <cfRule type="cellIs" dxfId="236" priority="22" stopIfTrue="1" operator="notBetween">
      <formula>15</formula>
      <formula>85</formula>
    </cfRule>
    <cfRule type="cellIs" dxfId="235" priority="23" stopIfTrue="1" operator="notBetween">
      <formula>25</formula>
      <formula>75</formula>
    </cfRule>
  </conditionalFormatting>
  <conditionalFormatting sqref="B190">
    <cfRule type="cellIs" dxfId="234" priority="24" stopIfTrue="1" operator="lessThanOrEqual">
      <formula>0.05</formula>
    </cfRule>
    <cfRule type="cellIs" dxfId="233" priority="25" stopIfTrue="1" operator="lessThanOrEqual">
      <formula>0.1</formula>
    </cfRule>
  </conditionalFormatting>
  <conditionalFormatting sqref="B204">
    <cfRule type="cellIs" dxfId="232" priority="26" stopIfTrue="1" operator="notBetween">
      <formula>15</formula>
      <formula>85</formula>
    </cfRule>
    <cfRule type="cellIs" dxfId="231" priority="27" stopIfTrue="1" operator="notBetween">
      <formula>25</formula>
      <formula>75</formula>
    </cfRule>
  </conditionalFormatting>
  <conditionalFormatting sqref="B211">
    <cfRule type="cellIs" dxfId="230" priority="28" stopIfTrue="1" operator="lessThanOrEqual">
      <formula>0.05</formula>
    </cfRule>
    <cfRule type="cellIs" dxfId="229" priority="29" stopIfTrue="1" operator="lessThanOrEqual">
      <formula>0.1</formula>
    </cfRule>
  </conditionalFormatting>
  <conditionalFormatting sqref="B225">
    <cfRule type="cellIs" dxfId="228" priority="30" stopIfTrue="1" operator="notBetween">
      <formula>15</formula>
      <formula>85</formula>
    </cfRule>
    <cfRule type="cellIs" dxfId="227" priority="31" stopIfTrue="1" operator="notBetween">
      <formula>25</formula>
      <formula>75</formula>
    </cfRule>
  </conditionalFormatting>
  <conditionalFormatting sqref="B232">
    <cfRule type="cellIs" dxfId="226" priority="32" stopIfTrue="1" operator="lessThanOrEqual">
      <formula>0.05</formula>
    </cfRule>
    <cfRule type="cellIs" dxfId="225" priority="33" stopIfTrue="1" operator="lessThanOrEqual">
      <formula>0.1</formula>
    </cfRule>
  </conditionalFormatting>
  <conditionalFormatting sqref="B254">
    <cfRule type="cellIs" dxfId="224" priority="34" stopIfTrue="1" operator="notBetween">
      <formula>15</formula>
      <formula>85</formula>
    </cfRule>
    <cfRule type="cellIs" dxfId="223" priority="35" stopIfTrue="1" operator="notBetween">
      <formula>25</formula>
      <formula>75</formula>
    </cfRule>
  </conditionalFormatting>
  <conditionalFormatting sqref="B261">
    <cfRule type="cellIs" dxfId="222" priority="36" stopIfTrue="1" operator="lessThanOrEqual">
      <formula>0.05</formula>
    </cfRule>
    <cfRule type="cellIs" dxfId="221" priority="37" stopIfTrue="1" operator="lessThanOrEqual">
      <formula>0.1</formula>
    </cfRule>
  </conditionalFormatting>
  <conditionalFormatting sqref="B283">
    <cfRule type="cellIs" dxfId="220" priority="38" stopIfTrue="1" operator="notBetween">
      <formula>15</formula>
      <formula>85</formula>
    </cfRule>
    <cfRule type="cellIs" dxfId="219" priority="39" stopIfTrue="1" operator="notBetween">
      <formula>25</formula>
      <formula>75</formula>
    </cfRule>
  </conditionalFormatting>
  <conditionalFormatting sqref="B290">
    <cfRule type="cellIs" dxfId="218" priority="40" stopIfTrue="1" operator="lessThanOrEqual">
      <formula>0.05</formula>
    </cfRule>
    <cfRule type="cellIs" dxfId="217" priority="41" stopIfTrue="1" operator="lessThanOrEqual">
      <formula>0.1</formula>
    </cfRule>
  </conditionalFormatting>
  <conditionalFormatting sqref="B304">
    <cfRule type="cellIs" dxfId="216" priority="42" stopIfTrue="1" operator="notBetween">
      <formula>15</formula>
      <formula>85</formula>
    </cfRule>
    <cfRule type="cellIs" dxfId="215" priority="43" stopIfTrue="1" operator="notBetween">
      <formula>25</formula>
      <formula>75</formula>
    </cfRule>
  </conditionalFormatting>
  <conditionalFormatting sqref="B311">
    <cfRule type="cellIs" dxfId="214" priority="44" stopIfTrue="1" operator="lessThanOrEqual">
      <formula>0.05</formula>
    </cfRule>
    <cfRule type="cellIs" dxfId="213" priority="45" stopIfTrue="1" operator="lessThanOrEqual">
      <formula>0.1</formula>
    </cfRule>
  </conditionalFormatting>
  <conditionalFormatting sqref="B325">
    <cfRule type="cellIs" dxfId="212" priority="46" stopIfTrue="1" operator="notBetween">
      <formula>15</formula>
      <formula>85</formula>
    </cfRule>
    <cfRule type="cellIs" dxfId="211" priority="47" stopIfTrue="1" operator="notBetween">
      <formula>25</formula>
      <formula>75</formula>
    </cfRule>
  </conditionalFormatting>
  <conditionalFormatting sqref="B332">
    <cfRule type="cellIs" dxfId="210" priority="48" stopIfTrue="1" operator="lessThanOrEqual">
      <formula>0.05</formula>
    </cfRule>
    <cfRule type="cellIs" dxfId="209" priority="49" stopIfTrue="1" operator="lessThanOrEqual">
      <formula>0.1</formula>
    </cfRule>
  </conditionalFormatting>
  <conditionalFormatting sqref="B348">
    <cfRule type="cellIs" dxfId="208" priority="50" stopIfTrue="1" operator="notBetween">
      <formula>15</formula>
      <formula>85</formula>
    </cfRule>
    <cfRule type="cellIs" dxfId="207" priority="51" stopIfTrue="1" operator="notBetween">
      <formula>25</formula>
      <formula>75</formula>
    </cfRule>
  </conditionalFormatting>
  <conditionalFormatting sqref="B355">
    <cfRule type="cellIs" dxfId="206" priority="52" stopIfTrue="1" operator="lessThanOrEqual">
      <formula>0.05</formula>
    </cfRule>
    <cfRule type="cellIs" dxfId="205" priority="53" stopIfTrue="1" operator="lessThanOrEqual">
      <formula>0.1</formula>
    </cfRule>
  </conditionalFormatting>
  <conditionalFormatting sqref="B371">
    <cfRule type="cellIs" dxfId="204" priority="54" stopIfTrue="1" operator="notBetween">
      <formula>15</formula>
      <formula>85</formula>
    </cfRule>
    <cfRule type="cellIs" dxfId="203" priority="55" stopIfTrue="1" operator="notBetween">
      <formula>25</formula>
      <formula>75</formula>
    </cfRule>
  </conditionalFormatting>
  <conditionalFormatting sqref="B378">
    <cfRule type="cellIs" dxfId="202" priority="56" stopIfTrue="1" operator="lessThanOrEqual">
      <formula>0.05</formula>
    </cfRule>
    <cfRule type="cellIs" dxfId="201" priority="57" stopIfTrue="1" operator="lessThanOrEqual">
      <formula>0.1</formula>
    </cfRule>
  </conditionalFormatting>
  <conditionalFormatting sqref="B400">
    <cfRule type="cellIs" dxfId="200" priority="58" stopIfTrue="1" operator="notBetween">
      <formula>15</formula>
      <formula>85</formula>
    </cfRule>
    <cfRule type="cellIs" dxfId="199" priority="59" stopIfTrue="1" operator="notBetween">
      <formula>25</formula>
      <formula>75</formula>
    </cfRule>
  </conditionalFormatting>
  <conditionalFormatting sqref="B407">
    <cfRule type="cellIs" dxfId="198" priority="60" stopIfTrue="1" operator="lessThanOrEqual">
      <formula>0.05</formula>
    </cfRule>
    <cfRule type="cellIs" dxfId="197" priority="61" stopIfTrue="1" operator="lessThanOrEqual">
      <formula>0.1</formula>
    </cfRule>
  </conditionalFormatting>
  <conditionalFormatting sqref="B429">
    <cfRule type="cellIs" dxfId="196" priority="62" stopIfTrue="1" operator="notBetween">
      <formula>15</formula>
      <formula>85</formula>
    </cfRule>
    <cfRule type="cellIs" dxfId="195" priority="63" stopIfTrue="1" operator="notBetween">
      <formula>25</formula>
      <formula>75</formula>
    </cfRule>
  </conditionalFormatting>
  <conditionalFormatting sqref="B436">
    <cfRule type="cellIs" dxfId="194" priority="64" stopIfTrue="1" operator="lessThanOrEqual">
      <formula>0.05</formula>
    </cfRule>
    <cfRule type="cellIs" dxfId="193" priority="65" stopIfTrue="1" operator="lessThanOrEqual">
      <formula>0.1</formula>
    </cfRule>
  </conditionalFormatting>
  <conditionalFormatting sqref="B448">
    <cfRule type="cellIs" dxfId="192" priority="66" stopIfTrue="1" operator="notBetween">
      <formula>15</formula>
      <formula>85</formula>
    </cfRule>
    <cfRule type="cellIs" dxfId="191" priority="67" stopIfTrue="1" operator="notBetween">
      <formula>25</formula>
      <formula>75</formula>
    </cfRule>
  </conditionalFormatting>
  <conditionalFormatting sqref="B455">
    <cfRule type="cellIs" dxfId="190" priority="68" stopIfTrue="1" operator="lessThanOrEqual">
      <formula>0.05</formula>
    </cfRule>
    <cfRule type="cellIs" dxfId="189" priority="69" stopIfTrue="1" operator="lessThanOrEqual">
      <formula>0.1</formula>
    </cfRule>
  </conditionalFormatting>
  <conditionalFormatting sqref="B467">
    <cfRule type="cellIs" dxfId="188" priority="70" stopIfTrue="1" operator="notBetween">
      <formula>15</formula>
      <formula>85</formula>
    </cfRule>
    <cfRule type="cellIs" dxfId="187" priority="71" stopIfTrue="1" operator="notBetween">
      <formula>25</formula>
      <formula>75</formula>
    </cfRule>
  </conditionalFormatting>
  <conditionalFormatting sqref="B474">
    <cfRule type="cellIs" dxfId="186" priority="72" stopIfTrue="1" operator="lessThanOrEqual">
      <formula>0.05</formula>
    </cfRule>
    <cfRule type="cellIs" dxfId="185" priority="73" stopIfTrue="1" operator="lessThanOrEqual">
      <formula>0.1</formula>
    </cfRule>
  </conditionalFormatting>
  <conditionalFormatting sqref="B498">
    <cfRule type="cellIs" dxfId="184" priority="74" stopIfTrue="1" operator="notBetween">
      <formula>15</formula>
      <formula>85</formula>
    </cfRule>
    <cfRule type="cellIs" dxfId="183" priority="75" stopIfTrue="1" operator="notBetween">
      <formula>25</formula>
      <formula>75</formula>
    </cfRule>
  </conditionalFormatting>
  <conditionalFormatting sqref="B505">
    <cfRule type="cellIs" dxfId="182" priority="76" stopIfTrue="1" operator="lessThanOrEqual">
      <formula>0.05</formula>
    </cfRule>
    <cfRule type="cellIs" dxfId="181" priority="77" stopIfTrue="1" operator="lessThanOrEqual">
      <formula>0.1</formula>
    </cfRule>
  </conditionalFormatting>
  <conditionalFormatting sqref="B529">
    <cfRule type="cellIs" dxfId="180" priority="78" stopIfTrue="1" operator="notBetween">
      <formula>15</formula>
      <formula>85</formula>
    </cfRule>
    <cfRule type="cellIs" dxfId="179" priority="79" stopIfTrue="1" operator="notBetween">
      <formula>25</formula>
      <formula>75</formula>
    </cfRule>
  </conditionalFormatting>
  <conditionalFormatting sqref="B536">
    <cfRule type="cellIs" dxfId="178" priority="80" stopIfTrue="1" operator="lessThanOrEqual">
      <formula>0.05</formula>
    </cfRule>
    <cfRule type="cellIs" dxfId="177" priority="81" stopIfTrue="1" operator="lessThanOrEqual">
      <formula>0.1</formula>
    </cfRule>
  </conditionalFormatting>
  <conditionalFormatting sqref="B546">
    <cfRule type="cellIs" dxfId="176" priority="82" stopIfTrue="1" operator="notBetween">
      <formula>15</formula>
      <formula>85</formula>
    </cfRule>
    <cfRule type="cellIs" dxfId="175" priority="83" stopIfTrue="1" operator="notBetween">
      <formula>25</formula>
      <formula>75</formula>
    </cfRule>
  </conditionalFormatting>
  <conditionalFormatting sqref="B553">
    <cfRule type="cellIs" dxfId="174" priority="84" stopIfTrue="1" operator="lessThanOrEqual">
      <formula>0.05</formula>
    </cfRule>
    <cfRule type="cellIs" dxfId="173" priority="85" stopIfTrue="1" operator="lessThanOrEqual">
      <formula>0.1</formula>
    </cfRule>
  </conditionalFormatting>
  <conditionalFormatting sqref="B563">
    <cfRule type="cellIs" dxfId="172" priority="86" stopIfTrue="1" operator="notBetween">
      <formula>15</formula>
      <formula>85</formula>
    </cfRule>
    <cfRule type="cellIs" dxfId="171" priority="87" stopIfTrue="1" operator="notBetween">
      <formula>25</formula>
      <formula>75</formula>
    </cfRule>
  </conditionalFormatting>
  <conditionalFormatting sqref="B570">
    <cfRule type="cellIs" dxfId="170" priority="88" stopIfTrue="1" operator="lessThanOrEqual">
      <formula>0.05</formula>
    </cfRule>
    <cfRule type="cellIs" dxfId="169" priority="89" stopIfTrue="1" operator="lessThanOrEqual">
      <formula>0.1</formula>
    </cfRule>
  </conditionalFormatting>
  <conditionalFormatting sqref="B580">
    <cfRule type="cellIs" dxfId="168" priority="90" stopIfTrue="1" operator="notBetween">
      <formula>15</formula>
      <formula>85</formula>
    </cfRule>
    <cfRule type="cellIs" dxfId="167" priority="91" stopIfTrue="1" operator="notBetween">
      <formula>25</formula>
      <formula>75</formula>
    </cfRule>
  </conditionalFormatting>
  <conditionalFormatting sqref="B587">
    <cfRule type="cellIs" dxfId="166" priority="92" stopIfTrue="1" operator="lessThanOrEqual">
      <formula>0.05</formula>
    </cfRule>
    <cfRule type="cellIs" dxfId="165" priority="93" stopIfTrue="1" operator="lessThanOrEqual">
      <formula>0.1</formula>
    </cfRule>
  </conditionalFormatting>
  <conditionalFormatting sqref="B597">
    <cfRule type="cellIs" dxfId="164" priority="94" stopIfTrue="1" operator="notBetween">
      <formula>15</formula>
      <formula>85</formula>
    </cfRule>
    <cfRule type="cellIs" dxfId="163" priority="95" stopIfTrue="1" operator="notBetween">
      <formula>25</formula>
      <formula>75</formula>
    </cfRule>
  </conditionalFormatting>
  <conditionalFormatting sqref="B604">
    <cfRule type="cellIs" dxfId="162" priority="96" stopIfTrue="1" operator="lessThanOrEqual">
      <formula>0.05</formula>
    </cfRule>
    <cfRule type="cellIs" dxfId="161" priority="97" stopIfTrue="1" operator="lessThanOrEqual">
      <formula>0.1</formula>
    </cfRule>
  </conditionalFormatting>
  <conditionalFormatting sqref="B614">
    <cfRule type="cellIs" dxfId="160" priority="98" stopIfTrue="1" operator="notBetween">
      <formula>15</formula>
      <formula>85</formula>
    </cfRule>
    <cfRule type="cellIs" dxfId="159" priority="99" stopIfTrue="1" operator="notBetween">
      <formula>25</formula>
      <formula>75</formula>
    </cfRule>
  </conditionalFormatting>
  <conditionalFormatting sqref="B621">
    <cfRule type="cellIs" dxfId="158" priority="100" stopIfTrue="1" operator="lessThanOrEqual">
      <formula>0.05</formula>
    </cfRule>
    <cfRule type="cellIs" dxfId="157" priority="101" stopIfTrue="1" operator="lessThanOrEqual">
      <formula>0.1</formula>
    </cfRule>
  </conditionalFormatting>
  <conditionalFormatting sqref="B631">
    <cfRule type="cellIs" dxfId="156" priority="102" stopIfTrue="1" operator="notBetween">
      <formula>15</formula>
      <formula>85</formula>
    </cfRule>
    <cfRule type="cellIs" dxfId="155" priority="103" stopIfTrue="1" operator="notBetween">
      <formula>25</formula>
      <formula>75</formula>
    </cfRule>
  </conditionalFormatting>
  <conditionalFormatting sqref="B638">
    <cfRule type="cellIs" dxfId="154" priority="104" stopIfTrue="1" operator="lessThanOrEqual">
      <formula>0.05</formula>
    </cfRule>
    <cfRule type="cellIs" dxfId="153" priority="105" stopIfTrue="1" operator="lessThanOrEqual">
      <formula>0.1</formula>
    </cfRule>
  </conditionalFormatting>
  <conditionalFormatting sqref="B648">
    <cfRule type="cellIs" dxfId="152" priority="106" stopIfTrue="1" operator="notBetween">
      <formula>15</formula>
      <formula>85</formula>
    </cfRule>
    <cfRule type="cellIs" dxfId="151" priority="107" stopIfTrue="1" operator="notBetween">
      <formula>25</formula>
      <formula>75</formula>
    </cfRule>
  </conditionalFormatting>
  <conditionalFormatting sqref="B655">
    <cfRule type="cellIs" dxfId="150" priority="108" stopIfTrue="1" operator="lessThanOrEqual">
      <formula>0.05</formula>
    </cfRule>
    <cfRule type="cellIs" dxfId="149" priority="109" stopIfTrue="1" operator="lessThanOrEqual">
      <formula>0.1</formula>
    </cfRule>
  </conditionalFormatting>
  <conditionalFormatting sqref="B665">
    <cfRule type="cellIs" dxfId="148" priority="110" stopIfTrue="1" operator="notBetween">
      <formula>15</formula>
      <formula>85</formula>
    </cfRule>
    <cfRule type="cellIs" dxfId="147" priority="111" stopIfTrue="1" operator="notBetween">
      <formula>25</formula>
      <formula>75</formula>
    </cfRule>
  </conditionalFormatting>
  <conditionalFormatting sqref="B672">
    <cfRule type="cellIs" dxfId="146" priority="112" stopIfTrue="1" operator="lessThanOrEqual">
      <formula>0.05</formula>
    </cfRule>
    <cfRule type="cellIs" dxfId="145" priority="113" stopIfTrue="1" operator="lessThanOrEqual">
      <formula>0.1</formula>
    </cfRule>
  </conditionalFormatting>
  <conditionalFormatting sqref="B684">
    <cfRule type="cellIs" dxfId="144" priority="114" stopIfTrue="1" operator="notBetween">
      <formula>15</formula>
      <formula>85</formula>
    </cfRule>
    <cfRule type="cellIs" dxfId="143" priority="115" stopIfTrue="1" operator="notBetween">
      <formula>25</formula>
      <formula>75</formula>
    </cfRule>
  </conditionalFormatting>
  <conditionalFormatting sqref="B691">
    <cfRule type="cellIs" dxfId="142" priority="116" stopIfTrue="1" operator="lessThanOrEqual">
      <formula>0.05</formula>
    </cfRule>
    <cfRule type="cellIs" dxfId="141" priority="117" stopIfTrue="1" operator="lessThanOrEqual">
      <formula>0.1</formula>
    </cfRule>
  </conditionalFormatting>
  <conditionalFormatting sqref="B703">
    <cfRule type="cellIs" dxfId="140" priority="118" stopIfTrue="1" operator="notBetween">
      <formula>15</formula>
      <formula>85</formula>
    </cfRule>
    <cfRule type="cellIs" dxfId="139" priority="119" stopIfTrue="1" operator="notBetween">
      <formula>25</formula>
      <formula>75</formula>
    </cfRule>
  </conditionalFormatting>
  <conditionalFormatting sqref="B710">
    <cfRule type="cellIs" dxfId="138" priority="120" stopIfTrue="1" operator="lessThanOrEqual">
      <formula>0.05</formula>
    </cfRule>
    <cfRule type="cellIs" dxfId="137" priority="121" stopIfTrue="1" operator="lessThanOrEqual">
      <formula>0.1</formula>
    </cfRule>
  </conditionalFormatting>
  <conditionalFormatting sqref="B722">
    <cfRule type="cellIs" dxfId="136" priority="122" stopIfTrue="1" operator="notBetween">
      <formula>15</formula>
      <formula>85</formula>
    </cfRule>
    <cfRule type="cellIs" dxfId="135" priority="123" stopIfTrue="1" operator="notBetween">
      <formula>25</formula>
      <formula>75</formula>
    </cfRule>
  </conditionalFormatting>
  <conditionalFormatting sqref="B729">
    <cfRule type="cellIs" dxfId="134" priority="124" stopIfTrue="1" operator="lessThanOrEqual">
      <formula>0.05</formula>
    </cfRule>
    <cfRule type="cellIs" dxfId="133" priority="125" stopIfTrue="1" operator="lessThanOrEqual">
      <formula>0.1</formula>
    </cfRule>
  </conditionalFormatting>
  <conditionalFormatting sqref="B741">
    <cfRule type="cellIs" dxfId="132" priority="126" stopIfTrue="1" operator="notBetween">
      <formula>15</formula>
      <formula>85</formula>
    </cfRule>
    <cfRule type="cellIs" dxfId="131" priority="127" stopIfTrue="1" operator="notBetween">
      <formula>25</formula>
      <formula>75</formula>
    </cfRule>
  </conditionalFormatting>
  <conditionalFormatting sqref="B748">
    <cfRule type="cellIs" dxfId="130" priority="128" stopIfTrue="1" operator="lessThanOrEqual">
      <formula>0.05</formula>
    </cfRule>
    <cfRule type="cellIs" dxfId="129" priority="129" stopIfTrue="1" operator="lessThanOrEqual">
      <formula>0.1</formula>
    </cfRule>
  </conditionalFormatting>
  <conditionalFormatting sqref="B760">
    <cfRule type="cellIs" dxfId="128" priority="130" stopIfTrue="1" operator="notBetween">
      <formula>15</formula>
      <formula>85</formula>
    </cfRule>
    <cfRule type="cellIs" dxfId="127" priority="131" stopIfTrue="1" operator="notBetween">
      <formula>25</formula>
      <formula>75</formula>
    </cfRule>
  </conditionalFormatting>
  <conditionalFormatting sqref="B767">
    <cfRule type="cellIs" dxfId="126" priority="132" stopIfTrue="1" operator="lessThanOrEqual">
      <formula>0.05</formula>
    </cfRule>
    <cfRule type="cellIs" dxfId="125" priority="133" stopIfTrue="1" operator="lessThanOrEqual">
      <formula>0.1</formula>
    </cfRule>
  </conditionalFormatting>
  <conditionalFormatting sqref="B779">
    <cfRule type="cellIs" dxfId="124" priority="134" stopIfTrue="1" operator="notBetween">
      <formula>15</formula>
      <formula>85</formula>
    </cfRule>
    <cfRule type="cellIs" dxfId="123" priority="135" stopIfTrue="1" operator="notBetween">
      <formula>25</formula>
      <formula>75</formula>
    </cfRule>
  </conditionalFormatting>
  <conditionalFormatting sqref="B786">
    <cfRule type="cellIs" dxfId="122" priority="136" stopIfTrue="1" operator="lessThanOrEqual">
      <formula>0.05</formula>
    </cfRule>
    <cfRule type="cellIs" dxfId="121" priority="137" stopIfTrue="1" operator="lessThanOrEqual">
      <formula>0.1</formula>
    </cfRule>
  </conditionalFormatting>
  <conditionalFormatting sqref="B796">
    <cfRule type="cellIs" dxfId="120" priority="138" stopIfTrue="1" operator="notBetween">
      <formula>15</formula>
      <formula>85</formula>
    </cfRule>
    <cfRule type="cellIs" dxfId="119" priority="139" stopIfTrue="1" operator="notBetween">
      <formula>25</formula>
      <formula>75</formula>
    </cfRule>
  </conditionalFormatting>
  <conditionalFormatting sqref="B803">
    <cfRule type="cellIs" dxfId="118" priority="140" stopIfTrue="1" operator="lessThanOrEqual">
      <formula>0.05</formula>
    </cfRule>
    <cfRule type="cellIs" dxfId="117" priority="141" stopIfTrue="1" operator="lessThanOrEqual">
      <formula>0.1</formula>
    </cfRule>
  </conditionalFormatting>
  <conditionalFormatting sqref="B813">
    <cfRule type="cellIs" dxfId="116" priority="142" stopIfTrue="1" operator="notBetween">
      <formula>15</formula>
      <formula>85</formula>
    </cfRule>
    <cfRule type="cellIs" dxfId="115" priority="143" stopIfTrue="1" operator="notBetween">
      <formula>25</formula>
      <formula>75</formula>
    </cfRule>
  </conditionalFormatting>
  <conditionalFormatting sqref="B820">
    <cfRule type="cellIs" dxfId="114" priority="144" stopIfTrue="1" operator="lessThanOrEqual">
      <formula>0.05</formula>
    </cfRule>
    <cfRule type="cellIs" dxfId="113" priority="145" stopIfTrue="1" operator="lessThanOrEqual">
      <formula>0.1</formula>
    </cfRule>
  </conditionalFormatting>
  <conditionalFormatting sqref="B830">
    <cfRule type="cellIs" dxfId="112" priority="146" stopIfTrue="1" operator="notBetween">
      <formula>15</formula>
      <formula>85</formula>
    </cfRule>
    <cfRule type="cellIs" dxfId="111" priority="147" stopIfTrue="1" operator="notBetween">
      <formula>25</formula>
      <formula>75</formula>
    </cfRule>
  </conditionalFormatting>
  <conditionalFormatting sqref="B837">
    <cfRule type="cellIs" dxfId="110" priority="148" stopIfTrue="1" operator="lessThanOrEqual">
      <formula>0.05</formula>
    </cfRule>
    <cfRule type="cellIs" dxfId="109" priority="149" stopIfTrue="1" operator="lessThanOrEqual">
      <formula>0.1</formula>
    </cfRule>
  </conditionalFormatting>
  <conditionalFormatting sqref="B847">
    <cfRule type="cellIs" dxfId="108" priority="150" stopIfTrue="1" operator="notBetween">
      <formula>15</formula>
      <formula>85</formula>
    </cfRule>
    <cfRule type="cellIs" dxfId="107" priority="151" stopIfTrue="1" operator="notBetween">
      <formula>25</formula>
      <formula>75</formula>
    </cfRule>
  </conditionalFormatting>
  <conditionalFormatting sqref="B854">
    <cfRule type="cellIs" dxfId="106" priority="152" stopIfTrue="1" operator="lessThanOrEqual">
      <formula>0.05</formula>
    </cfRule>
    <cfRule type="cellIs" dxfId="105" priority="153" stopIfTrue="1" operator="lessThanOrEqual">
      <formula>0.1</formula>
    </cfRule>
  </conditionalFormatting>
  <conditionalFormatting sqref="B864">
    <cfRule type="cellIs" dxfId="104" priority="154" stopIfTrue="1" operator="notBetween">
      <formula>15</formula>
      <formula>85</formula>
    </cfRule>
    <cfRule type="cellIs" dxfId="103" priority="155" stopIfTrue="1" operator="notBetween">
      <formula>25</formula>
      <formula>75</formula>
    </cfRule>
  </conditionalFormatting>
  <conditionalFormatting sqref="B871">
    <cfRule type="cellIs" dxfId="102" priority="156" stopIfTrue="1" operator="lessThanOrEqual">
      <formula>0.05</formula>
    </cfRule>
    <cfRule type="cellIs" dxfId="101" priority="157" stopIfTrue="1" operator="lessThanOrEqual">
      <formula>0.1</formula>
    </cfRule>
  </conditionalFormatting>
  <conditionalFormatting sqref="B881">
    <cfRule type="cellIs" dxfId="100" priority="158" stopIfTrue="1" operator="notBetween">
      <formula>15</formula>
      <formula>85</formula>
    </cfRule>
    <cfRule type="cellIs" dxfId="99" priority="159" stopIfTrue="1" operator="notBetween">
      <formula>25</formula>
      <formula>75</formula>
    </cfRule>
  </conditionalFormatting>
  <conditionalFormatting sqref="B888">
    <cfRule type="cellIs" dxfId="98" priority="160" stopIfTrue="1" operator="lessThanOrEqual">
      <formula>0.05</formula>
    </cfRule>
    <cfRule type="cellIs" dxfId="97" priority="161" stopIfTrue="1" operator="lessThanOrEqual">
      <formula>0.1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2"/>
  <dimension ref="A1:G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64</v>
      </c>
    </row>
    <row r="2" spans="1:7">
      <c r="A2" s="2" t="s">
        <v>117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1432</v>
      </c>
      <c r="B4">
        <v>419.29767639204334</v>
      </c>
      <c r="C4">
        <v>343.79671150971598</v>
      </c>
      <c r="D4">
        <v>334.7280334728033</v>
      </c>
    </row>
    <row r="5" spans="1:7">
      <c r="A5" s="1" t="s">
        <v>1433</v>
      </c>
      <c r="B5">
        <v>417.88965723098352</v>
      </c>
      <c r="C5">
        <v>389.46448633129444</v>
      </c>
      <c r="D5">
        <v>374.34489643124533</v>
      </c>
    </row>
    <row r="6" spans="1:7">
      <c r="A6" s="1" t="s">
        <v>1434</v>
      </c>
      <c r="B6">
        <v>409.24470215090059</v>
      </c>
      <c r="C6">
        <v>356.70052018825862</v>
      </c>
      <c r="D6">
        <v>379.59212126375797</v>
      </c>
    </row>
    <row r="7" spans="1:7">
      <c r="A7" s="1" t="s">
        <v>1435</v>
      </c>
      <c r="B7" t="e">
        <f>NA()</f>
        <v>#N/A</v>
      </c>
      <c r="C7">
        <v>381.97097020626438</v>
      </c>
      <c r="D7">
        <v>353.98230088495575</v>
      </c>
      <c r="E7" t="s">
        <v>17</v>
      </c>
    </row>
    <row r="8" spans="1:7">
      <c r="A8" s="1" t="s">
        <v>589</v>
      </c>
      <c r="B8">
        <v>376.04352077013715</v>
      </c>
      <c r="C8">
        <v>337.94538998408228</v>
      </c>
      <c r="D8">
        <v>326.32880098887517</v>
      </c>
    </row>
    <row r="9" spans="1:7">
      <c r="A9" s="1" t="s">
        <v>828</v>
      </c>
      <c r="B9">
        <v>389.598725563681</v>
      </c>
      <c r="C9">
        <v>334.98287019413783</v>
      </c>
      <c r="D9">
        <v>324.8830913118386</v>
      </c>
    </row>
    <row r="10" spans="1:7">
      <c r="A10" s="1" t="s">
        <v>591</v>
      </c>
      <c r="B10">
        <v>409.21989346343406</v>
      </c>
      <c r="C10">
        <v>416.09907120743037</v>
      </c>
      <c r="D10">
        <v>387.77032065622672</v>
      </c>
    </row>
    <row r="11" spans="1:7">
      <c r="A11" s="1" t="s">
        <v>830</v>
      </c>
      <c r="B11">
        <v>375.82958415152495</v>
      </c>
      <c r="C11">
        <v>440.28340080971657</v>
      </c>
      <c r="D11">
        <v>422.00452147701577</v>
      </c>
    </row>
    <row r="12" spans="1:7">
      <c r="A12" s="1"/>
    </row>
    <row r="13" spans="1:7">
      <c r="A13" s="4" t="s">
        <v>18</v>
      </c>
      <c r="B13">
        <v>8</v>
      </c>
    </row>
    <row r="14" spans="1:7">
      <c r="A14" s="4" t="s">
        <v>191</v>
      </c>
      <c r="B14">
        <v>7</v>
      </c>
    </row>
    <row r="15" spans="1:7">
      <c r="A15" s="4" t="s">
        <v>192</v>
      </c>
      <c r="B15">
        <v>1</v>
      </c>
    </row>
    <row r="16" spans="1:7">
      <c r="A16" s="6" t="s">
        <v>193</v>
      </c>
      <c r="B16">
        <v>87.5</v>
      </c>
    </row>
    <row r="17" spans="1:7">
      <c r="A17" s="1"/>
    </row>
    <row r="18" spans="1:7">
      <c r="A18" s="4" t="s">
        <v>19</v>
      </c>
      <c r="B18">
        <v>12.201166743022734</v>
      </c>
    </row>
    <row r="19" spans="1:7">
      <c r="A19" s="1" t="s">
        <v>20</v>
      </c>
      <c r="B19">
        <v>257.26748313407518</v>
      </c>
    </row>
    <row r="20" spans="1:7">
      <c r="A20" t="s">
        <v>23</v>
      </c>
      <c r="B20">
        <v>16.039559942033172</v>
      </c>
    </row>
    <row r="21" spans="1:7">
      <c r="A21" t="s">
        <v>24</v>
      </c>
      <c r="B21">
        <v>5.6708408011298816</v>
      </c>
    </row>
    <row r="22" spans="1:7">
      <c r="A22" t="s">
        <v>21</v>
      </c>
      <c r="B22">
        <v>2.1515622058358126</v>
      </c>
    </row>
    <row r="23" spans="1:7">
      <c r="A23" s="3" t="s">
        <v>22</v>
      </c>
      <c r="B23">
        <f>TDIST(ABS(B22),7,1)</f>
        <v>3.4227767137431135E-2</v>
      </c>
    </row>
    <row r="24" spans="1:7">
      <c r="A24" s="1"/>
    </row>
    <row r="25" spans="1:7">
      <c r="A25" s="5" t="s">
        <v>118</v>
      </c>
    </row>
    <row r="26" spans="1:7">
      <c r="A26" s="4" t="s">
        <v>7</v>
      </c>
      <c r="B26" s="3" t="s">
        <v>8</v>
      </c>
      <c r="C26" s="3" t="s">
        <v>9</v>
      </c>
      <c r="D26" s="3" t="s">
        <v>10</v>
      </c>
      <c r="E26" s="3" t="s">
        <v>11</v>
      </c>
      <c r="F26" s="3" t="s">
        <v>12</v>
      </c>
      <c r="G26" s="3" t="s">
        <v>13</v>
      </c>
    </row>
    <row r="27" spans="1:7">
      <c r="A27" s="1" t="s">
        <v>1436</v>
      </c>
      <c r="B27">
        <v>414.92537313432831</v>
      </c>
      <c r="C27">
        <v>417.35740922732793</v>
      </c>
      <c r="D27">
        <v>399.90125894840776</v>
      </c>
    </row>
    <row r="28" spans="1:7">
      <c r="A28" s="1" t="s">
        <v>1437</v>
      </c>
      <c r="B28">
        <v>399.05985897884682</v>
      </c>
      <c r="C28">
        <v>402.73461777501552</v>
      </c>
      <c r="D28">
        <v>433.38062685412098</v>
      </c>
    </row>
    <row r="29" spans="1:7">
      <c r="A29" s="1" t="s">
        <v>1438</v>
      </c>
      <c r="B29">
        <v>394.50640698460057</v>
      </c>
      <c r="C29">
        <v>331.07599699021824</v>
      </c>
      <c r="D29">
        <v>330.24768576432319</v>
      </c>
    </row>
    <row r="30" spans="1:7">
      <c r="A30" s="1" t="s">
        <v>1439</v>
      </c>
      <c r="B30">
        <v>333.75093961413177</v>
      </c>
      <c r="C30">
        <v>329.95875515560556</v>
      </c>
      <c r="D30">
        <v>333.97870280735719</v>
      </c>
    </row>
    <row r="31" spans="1:7">
      <c r="A31" s="1" t="s">
        <v>593</v>
      </c>
      <c r="B31">
        <v>378.2194496935997</v>
      </c>
      <c r="C31">
        <v>372.47801345059497</v>
      </c>
      <c r="D31">
        <v>372.90242386575511</v>
      </c>
    </row>
    <row r="32" spans="1:7">
      <c r="A32" s="1" t="s">
        <v>594</v>
      </c>
      <c r="B32">
        <v>376.12788631971785</v>
      </c>
      <c r="C32">
        <v>346.65382763601349</v>
      </c>
      <c r="D32">
        <v>366.0861827888649</v>
      </c>
    </row>
    <row r="33" spans="1:4">
      <c r="A33" s="1" t="s">
        <v>956</v>
      </c>
      <c r="B33">
        <v>402.18948385218908</v>
      </c>
      <c r="C33">
        <v>377.02651753173308</v>
      </c>
      <c r="D33">
        <v>371.93156459211508</v>
      </c>
    </row>
    <row r="34" spans="1:4">
      <c r="A34" s="1" t="s">
        <v>595</v>
      </c>
      <c r="B34">
        <v>406.6478957466424</v>
      </c>
      <c r="C34">
        <v>359.14702581369249</v>
      </c>
      <c r="D34">
        <v>379.17087967644085</v>
      </c>
    </row>
    <row r="35" spans="1:4">
      <c r="A35" s="1"/>
    </row>
    <row r="36" spans="1:4">
      <c r="A36" s="4" t="s">
        <v>18</v>
      </c>
      <c r="B36">
        <v>8</v>
      </c>
    </row>
    <row r="37" spans="1:4">
      <c r="A37" s="4" t="s">
        <v>191</v>
      </c>
      <c r="B37">
        <v>3</v>
      </c>
    </row>
    <row r="38" spans="1:4">
      <c r="A38" s="4" t="s">
        <v>192</v>
      </c>
      <c r="B38">
        <v>5</v>
      </c>
    </row>
    <row r="39" spans="1:4">
      <c r="A39" s="6" t="s">
        <v>193</v>
      </c>
      <c r="B39">
        <v>37.5</v>
      </c>
    </row>
    <row r="41" spans="1:4">
      <c r="A41" s="3" t="s">
        <v>19</v>
      </c>
      <c r="B41">
        <v>-6.3958952146479717</v>
      </c>
    </row>
    <row r="42" spans="1:4">
      <c r="A42" t="s">
        <v>20</v>
      </c>
      <c r="B42">
        <v>248.31302126189189</v>
      </c>
    </row>
    <row r="43" spans="1:4">
      <c r="A43" t="s">
        <v>23</v>
      </c>
      <c r="B43">
        <v>15.757951048974986</v>
      </c>
    </row>
    <row r="44" spans="1:4">
      <c r="A44" s="1" t="s">
        <v>24</v>
      </c>
      <c r="B44">
        <v>5.5712770221679415</v>
      </c>
    </row>
    <row r="45" spans="1:4">
      <c r="A45" s="1" t="s">
        <v>21</v>
      </c>
      <c r="B45">
        <v>-1.1480124196299879</v>
      </c>
    </row>
    <row r="46" spans="1:4">
      <c r="A46" s="4" t="s">
        <v>22</v>
      </c>
      <c r="B46">
        <f>TDIST(ABS(B45),7,1)</f>
        <v>0.14433926183870238</v>
      </c>
    </row>
    <row r="47" spans="1:4">
      <c r="A47" s="1"/>
    </row>
    <row r="48" spans="1:4">
      <c r="A48" s="5" t="s">
        <v>119</v>
      </c>
    </row>
    <row r="49" spans="1:7">
      <c r="A49" s="4" t="s">
        <v>7</v>
      </c>
      <c r="B49" s="3" t="s">
        <v>8</v>
      </c>
      <c r="C49" s="3" t="s">
        <v>9</v>
      </c>
      <c r="D49" s="3" t="s">
        <v>10</v>
      </c>
      <c r="E49" s="3" t="s">
        <v>11</v>
      </c>
      <c r="F49" s="3" t="s">
        <v>12</v>
      </c>
      <c r="G49" s="3" t="s">
        <v>13</v>
      </c>
    </row>
    <row r="50" spans="1:7">
      <c r="A50" s="1" t="s">
        <v>1440</v>
      </c>
      <c r="B50">
        <v>402.36008258533269</v>
      </c>
      <c r="C50">
        <v>348.83720930232562</v>
      </c>
      <c r="D50">
        <v>336.29828195442911</v>
      </c>
    </row>
    <row r="51" spans="1:7">
      <c r="A51" s="1" t="s">
        <v>1441</v>
      </c>
      <c r="B51">
        <v>395.22754174192482</v>
      </c>
      <c r="C51" t="e">
        <f>NA()</f>
        <v>#N/A</v>
      </c>
      <c r="D51" t="e">
        <f>NA()</f>
        <v>#N/A</v>
      </c>
      <c r="F51" t="s">
        <v>17</v>
      </c>
      <c r="G51" t="s">
        <v>17</v>
      </c>
    </row>
    <row r="52" spans="1:7">
      <c r="A52" s="1" t="s">
        <v>1442</v>
      </c>
      <c r="B52" t="e">
        <f>NA()</f>
        <v>#N/A</v>
      </c>
      <c r="C52">
        <v>321.51991231275122</v>
      </c>
      <c r="D52">
        <v>326.93498452012386</v>
      </c>
      <c r="E52" t="s">
        <v>17</v>
      </c>
    </row>
    <row r="53" spans="1:7">
      <c r="A53" s="1" t="s">
        <v>1443</v>
      </c>
      <c r="B53">
        <v>335.15336034018571</v>
      </c>
      <c r="C53">
        <v>332.36812287548787</v>
      </c>
      <c r="D53">
        <v>326.12723903644229</v>
      </c>
    </row>
    <row r="54" spans="1:7">
      <c r="A54" s="1" t="s">
        <v>597</v>
      </c>
      <c r="B54">
        <v>335.8684656645317</v>
      </c>
      <c r="C54">
        <v>319.71580817051512</v>
      </c>
      <c r="D54">
        <v>327.53199811848589</v>
      </c>
    </row>
    <row r="55" spans="1:7">
      <c r="A55" s="1" t="s">
        <v>598</v>
      </c>
      <c r="B55">
        <v>318.66122203572411</v>
      </c>
      <c r="C55">
        <v>320.69228811402388</v>
      </c>
      <c r="D55">
        <v>316.42390758412859</v>
      </c>
    </row>
    <row r="56" spans="1:7">
      <c r="A56" s="1" t="s">
        <v>832</v>
      </c>
      <c r="B56">
        <v>349.03838920789349</v>
      </c>
      <c r="C56">
        <v>326.00642133860208</v>
      </c>
      <c r="D56">
        <v>320.31060422227614</v>
      </c>
    </row>
    <row r="57" spans="1:7">
      <c r="A57" s="1" t="s">
        <v>834</v>
      </c>
      <c r="B57">
        <v>360.93843994385401</v>
      </c>
      <c r="C57">
        <v>325.04309283427727</v>
      </c>
      <c r="D57">
        <v>327.29977684106126</v>
      </c>
    </row>
    <row r="58" spans="1:7">
      <c r="A58" s="1"/>
    </row>
    <row r="59" spans="1:7">
      <c r="A59" s="4" t="s">
        <v>18</v>
      </c>
      <c r="B59">
        <v>7</v>
      </c>
    </row>
    <row r="60" spans="1:7">
      <c r="A60" s="4" t="s">
        <v>191</v>
      </c>
      <c r="B60">
        <v>4</v>
      </c>
    </row>
    <row r="61" spans="1:7">
      <c r="A61" s="4" t="s">
        <v>192</v>
      </c>
      <c r="B61">
        <v>3</v>
      </c>
    </row>
    <row r="62" spans="1:7">
      <c r="A62" s="6" t="s">
        <v>193</v>
      </c>
      <c r="B62">
        <v>57.142857142857146</v>
      </c>
    </row>
    <row r="63" spans="1:7">
      <c r="A63" s="1"/>
    </row>
    <row r="64" spans="1:7">
      <c r="A64" s="4" t="s">
        <v>19</v>
      </c>
      <c r="B64">
        <v>1.8937232387194169</v>
      </c>
    </row>
    <row r="65" spans="1:7">
      <c r="A65" s="1" t="s">
        <v>20</v>
      </c>
      <c r="B65">
        <v>52.873312697523311</v>
      </c>
    </row>
    <row r="66" spans="1:7">
      <c r="A66" t="s">
        <v>23</v>
      </c>
      <c r="B66">
        <v>7.2714037638906639</v>
      </c>
    </row>
    <row r="67" spans="1:7">
      <c r="A67" t="s">
        <v>24</v>
      </c>
      <c r="B67">
        <v>2.7483322916562463</v>
      </c>
    </row>
    <row r="68" spans="1:7">
      <c r="A68" t="s">
        <v>21</v>
      </c>
      <c r="B68">
        <v>0.68904449599076301</v>
      </c>
    </row>
    <row r="69" spans="1:7">
      <c r="A69" s="3" t="s">
        <v>22</v>
      </c>
      <c r="B69">
        <f>TDIST(ABS(B68),6,1)</f>
        <v>0.25827051440388588</v>
      </c>
    </row>
    <row r="70" spans="1:7">
      <c r="A70" s="1"/>
    </row>
    <row r="71" spans="1:7">
      <c r="A71" s="5" t="s">
        <v>120</v>
      </c>
    </row>
    <row r="72" spans="1:7">
      <c r="A72" s="4" t="s">
        <v>7</v>
      </c>
      <c r="B72" s="3" t="s">
        <v>8</v>
      </c>
      <c r="C72" s="3" t="s">
        <v>9</v>
      </c>
      <c r="D72" s="3" t="s">
        <v>10</v>
      </c>
      <c r="E72" s="3" t="s">
        <v>11</v>
      </c>
      <c r="F72" s="3" t="s">
        <v>12</v>
      </c>
      <c r="G72" s="3" t="s">
        <v>13</v>
      </c>
    </row>
    <row r="73" spans="1:7">
      <c r="A73" s="1" t="s">
        <v>1444</v>
      </c>
      <c r="B73">
        <v>404.91038118730989</v>
      </c>
      <c r="C73">
        <v>424.51042324699938</v>
      </c>
      <c r="D73">
        <v>466.45768025078377</v>
      </c>
    </row>
    <row r="74" spans="1:7">
      <c r="A74" s="1" t="s">
        <v>1445</v>
      </c>
      <c r="B74">
        <v>395.62415705080173</v>
      </c>
      <c r="C74">
        <v>383.82804503582395</v>
      </c>
      <c r="D74">
        <v>400.791687283523</v>
      </c>
    </row>
    <row r="75" spans="1:7">
      <c r="A75" s="1" t="s">
        <v>1446</v>
      </c>
      <c r="B75">
        <v>320.18353199341681</v>
      </c>
      <c r="C75">
        <v>308.6344151867728</v>
      </c>
      <c r="D75">
        <v>308.14380044020544</v>
      </c>
    </row>
    <row r="76" spans="1:7">
      <c r="A76" s="1" t="s">
        <v>1447</v>
      </c>
      <c r="B76" t="e">
        <f>NA()</f>
        <v>#N/A</v>
      </c>
      <c r="C76">
        <v>302.26700251889173</v>
      </c>
      <c r="D76">
        <v>306.04809327179981</v>
      </c>
      <c r="E76" t="s">
        <v>42</v>
      </c>
    </row>
    <row r="77" spans="1:7">
      <c r="A77" s="1" t="s">
        <v>957</v>
      </c>
      <c r="B77">
        <v>405.28369858901232</v>
      </c>
      <c r="C77">
        <v>360.67626800250468</v>
      </c>
      <c r="D77">
        <v>352.6255270218474</v>
      </c>
    </row>
    <row r="78" spans="1:7">
      <c r="A78" s="1" t="s">
        <v>603</v>
      </c>
      <c r="B78">
        <v>352.4184843997088</v>
      </c>
      <c r="C78">
        <v>340.23668639053255</v>
      </c>
      <c r="D78">
        <v>337.4083129584352</v>
      </c>
    </row>
    <row r="79" spans="1:7">
      <c r="A79" s="1" t="s">
        <v>959</v>
      </c>
      <c r="B79">
        <v>388.20343063496841</v>
      </c>
      <c r="C79">
        <v>343.79671150971598</v>
      </c>
      <c r="D79">
        <v>339.44164309433035</v>
      </c>
    </row>
    <row r="80" spans="1:7">
      <c r="A80" s="1" t="s">
        <v>960</v>
      </c>
      <c r="B80">
        <v>347.17545828656938</v>
      </c>
      <c r="C80">
        <v>352.4904214559387</v>
      </c>
      <c r="D80">
        <v>336.86359576368511</v>
      </c>
    </row>
    <row r="81" spans="1:7">
      <c r="A81" s="1"/>
    </row>
    <row r="82" spans="1:7">
      <c r="A82" s="4" t="s">
        <v>18</v>
      </c>
      <c r="B82">
        <v>8</v>
      </c>
    </row>
    <row r="83" spans="1:7">
      <c r="A83" s="4" t="s">
        <v>191</v>
      </c>
      <c r="B83">
        <v>5</v>
      </c>
    </row>
    <row r="84" spans="1:7">
      <c r="A84" s="4" t="s">
        <v>192</v>
      </c>
      <c r="B84">
        <v>3</v>
      </c>
    </row>
    <row r="85" spans="1:7">
      <c r="A85" s="6" t="s">
        <v>193</v>
      </c>
      <c r="B85">
        <v>62.5</v>
      </c>
    </row>
    <row r="86" spans="1:7">
      <c r="A86" s="1"/>
    </row>
    <row r="87" spans="1:7">
      <c r="A87" s="4" t="s">
        <v>19</v>
      </c>
      <c r="B87">
        <v>-3.917545842178789</v>
      </c>
    </row>
    <row r="88" spans="1:7">
      <c r="A88" s="1" t="s">
        <v>20</v>
      </c>
      <c r="B88">
        <v>325.01085484056449</v>
      </c>
    </row>
    <row r="89" spans="1:7">
      <c r="A89" s="1" t="s">
        <v>23</v>
      </c>
      <c r="B89">
        <v>18.028057433915738</v>
      </c>
    </row>
    <row r="90" spans="1:7">
      <c r="A90" t="s">
        <v>24</v>
      </c>
      <c r="B90">
        <v>6.3738808315711832</v>
      </c>
    </row>
    <row r="91" spans="1:7">
      <c r="A91" t="s">
        <v>21</v>
      </c>
      <c r="B91">
        <v>-0.61462489583651359</v>
      </c>
    </row>
    <row r="92" spans="1:7">
      <c r="A92" s="3" t="s">
        <v>22</v>
      </c>
      <c r="B92">
        <f>TDIST(ABS(B91),7,1)</f>
        <v>0.27912173984360855</v>
      </c>
    </row>
    <row r="94" spans="1:7">
      <c r="A94" s="5" t="s">
        <v>121</v>
      </c>
    </row>
    <row r="95" spans="1:7">
      <c r="A95" s="3" t="s">
        <v>7</v>
      </c>
      <c r="B95" s="3" t="s">
        <v>8</v>
      </c>
      <c r="C95" s="3" t="s">
        <v>9</v>
      </c>
      <c r="D95" s="3" t="s">
        <v>10</v>
      </c>
      <c r="E95" s="3" t="s">
        <v>11</v>
      </c>
      <c r="F95" s="3" t="s">
        <v>12</v>
      </c>
      <c r="G95" s="3" t="s">
        <v>13</v>
      </c>
    </row>
    <row r="96" spans="1:7">
      <c r="A96" t="s">
        <v>1472</v>
      </c>
      <c r="B96">
        <v>341.30033431465495</v>
      </c>
      <c r="C96">
        <v>322.16824341600613</v>
      </c>
      <c r="D96">
        <v>337.38019169329078</v>
      </c>
    </row>
    <row r="97" spans="1:4">
      <c r="A97" t="s">
        <v>1473</v>
      </c>
      <c r="B97">
        <v>337.18013045659808</v>
      </c>
      <c r="C97">
        <v>424.29599696931427</v>
      </c>
      <c r="D97">
        <v>404.69647764176869</v>
      </c>
    </row>
    <row r="98" spans="1:4">
      <c r="A98" t="s">
        <v>1474</v>
      </c>
      <c r="B98">
        <v>418.31144465290805</v>
      </c>
      <c r="C98">
        <v>346.03811434302912</v>
      </c>
      <c r="D98">
        <v>369.73132856790727</v>
      </c>
    </row>
    <row r="99" spans="1:4">
      <c r="A99" s="1" t="s">
        <v>1475</v>
      </c>
      <c r="B99">
        <v>360.28461705472733</v>
      </c>
      <c r="C99">
        <v>343.53995519044065</v>
      </c>
      <c r="D99">
        <v>342.30435321840508</v>
      </c>
    </row>
    <row r="100" spans="1:4">
      <c r="A100" s="1" t="s">
        <v>605</v>
      </c>
      <c r="B100">
        <v>388.85301137161309</v>
      </c>
      <c r="C100">
        <v>435.32649487115333</v>
      </c>
      <c r="D100">
        <v>439.11671924290221</v>
      </c>
    </row>
    <row r="101" spans="1:4">
      <c r="A101" s="1" t="s">
        <v>606</v>
      </c>
      <c r="B101">
        <v>366.24721687138816</v>
      </c>
      <c r="C101">
        <v>466.22383757363076</v>
      </c>
      <c r="D101">
        <v>445.10385756676556</v>
      </c>
    </row>
    <row r="102" spans="1:4">
      <c r="A102" s="1" t="s">
        <v>836</v>
      </c>
      <c r="B102">
        <v>448.4751843731313</v>
      </c>
      <c r="C102">
        <v>380.32454361054766</v>
      </c>
      <c r="D102">
        <v>332.409972299169</v>
      </c>
    </row>
    <row r="103" spans="1:4">
      <c r="A103" s="1" t="s">
        <v>837</v>
      </c>
      <c r="B103">
        <v>352.07382516675864</v>
      </c>
      <c r="C103">
        <v>416.5633523431689</v>
      </c>
      <c r="D103">
        <v>407.17401841977698</v>
      </c>
    </row>
    <row r="104" spans="1:4">
      <c r="A104" s="1"/>
    </row>
    <row r="105" spans="1:4">
      <c r="A105" s="4" t="s">
        <v>18</v>
      </c>
      <c r="B105">
        <v>8</v>
      </c>
    </row>
    <row r="106" spans="1:4">
      <c r="A106" s="4" t="s">
        <v>191</v>
      </c>
      <c r="B106">
        <v>5</v>
      </c>
    </row>
    <row r="107" spans="1:4">
      <c r="A107" s="4" t="s">
        <v>192</v>
      </c>
      <c r="B107">
        <v>3</v>
      </c>
    </row>
    <row r="108" spans="1:4">
      <c r="A108" s="6" t="s">
        <v>193</v>
      </c>
      <c r="B108">
        <v>62.5</v>
      </c>
    </row>
    <row r="109" spans="1:4">
      <c r="A109" s="1"/>
    </row>
    <row r="110" spans="1:4">
      <c r="A110" s="4" t="s">
        <v>19</v>
      </c>
      <c r="B110">
        <v>7.0704524584131576</v>
      </c>
    </row>
    <row r="111" spans="1:4">
      <c r="A111" s="1" t="s">
        <v>20</v>
      </c>
      <c r="B111">
        <v>517.55633554631027</v>
      </c>
    </row>
    <row r="112" spans="1:4">
      <c r="A112" s="1" t="s">
        <v>23</v>
      </c>
      <c r="B112">
        <v>22.749864517097905</v>
      </c>
    </row>
    <row r="113" spans="1:7">
      <c r="A113" s="1" t="s">
        <v>24</v>
      </c>
      <c r="B113">
        <v>8.0432917355575739</v>
      </c>
    </row>
    <row r="114" spans="1:7">
      <c r="A114" s="1" t="s">
        <v>21</v>
      </c>
      <c r="B114">
        <v>0.87904960939764076</v>
      </c>
    </row>
    <row r="115" spans="1:7">
      <c r="A115" s="4" t="s">
        <v>22</v>
      </c>
      <c r="B115">
        <f>TDIST(ABS(B114),7,1)</f>
        <v>0.20426716174234621</v>
      </c>
    </row>
    <row r="116" spans="1:7">
      <c r="A116" s="1"/>
    </row>
    <row r="117" spans="1:7">
      <c r="A117" s="5" t="s">
        <v>122</v>
      </c>
    </row>
    <row r="118" spans="1:7">
      <c r="A118" s="4" t="s">
        <v>7</v>
      </c>
      <c r="B118" s="3" t="s">
        <v>8</v>
      </c>
      <c r="C118" s="3" t="s">
        <v>9</v>
      </c>
      <c r="D118" s="3" t="s">
        <v>10</v>
      </c>
      <c r="E118" s="3" t="s">
        <v>11</v>
      </c>
      <c r="F118" s="3" t="s">
        <v>12</v>
      </c>
      <c r="G118" s="3" t="s">
        <v>13</v>
      </c>
    </row>
    <row r="119" spans="1:7">
      <c r="A119" s="1" t="s">
        <v>1476</v>
      </c>
      <c r="B119">
        <v>364.30376885975676</v>
      </c>
      <c r="C119">
        <v>364.695453969862</v>
      </c>
      <c r="D119">
        <v>341.96506009168627</v>
      </c>
    </row>
    <row r="120" spans="1:7">
      <c r="A120" t="s">
        <v>1477</v>
      </c>
      <c r="B120">
        <v>340.4041671896573</v>
      </c>
      <c r="C120">
        <v>319.5941661382372</v>
      </c>
      <c r="D120">
        <v>318.98734177215192</v>
      </c>
    </row>
    <row r="121" spans="1:7">
      <c r="A121" t="s">
        <v>1478</v>
      </c>
      <c r="B121">
        <v>321.61911679983967</v>
      </c>
      <c r="C121">
        <v>311.84259373839876</v>
      </c>
      <c r="D121">
        <v>319.27023945267956</v>
      </c>
    </row>
    <row r="122" spans="1:7">
      <c r="A122" t="s">
        <v>1479</v>
      </c>
      <c r="B122">
        <v>307.78425220379501</v>
      </c>
      <c r="C122">
        <v>331.53334170538739</v>
      </c>
      <c r="D122">
        <v>307.09237143553497</v>
      </c>
    </row>
    <row r="123" spans="1:7">
      <c r="A123" t="s">
        <v>609</v>
      </c>
      <c r="B123">
        <v>352.73895822434793</v>
      </c>
      <c r="C123">
        <v>317.30042810375221</v>
      </c>
      <c r="D123">
        <v>317.14069972313115</v>
      </c>
    </row>
    <row r="124" spans="1:7">
      <c r="A124" s="1" t="s">
        <v>961</v>
      </c>
      <c r="B124">
        <v>330.29979914201402</v>
      </c>
      <c r="C124">
        <v>324.52366318377381</v>
      </c>
      <c r="D124">
        <v>309.88686669945889</v>
      </c>
    </row>
    <row r="125" spans="1:7">
      <c r="A125" s="1" t="s">
        <v>963</v>
      </c>
      <c r="B125">
        <v>370.4843895060007</v>
      </c>
      <c r="C125">
        <v>429.84189723320162</v>
      </c>
      <c r="D125">
        <v>422.90748898678419</v>
      </c>
    </row>
    <row r="126" spans="1:7">
      <c r="A126" s="1" t="s">
        <v>611</v>
      </c>
      <c r="B126">
        <v>348.75310323392813</v>
      </c>
      <c r="C126">
        <v>349.89673186733086</v>
      </c>
      <c r="D126">
        <v>366.73882592639757</v>
      </c>
    </row>
    <row r="127" spans="1:7">
      <c r="A127" s="1"/>
    </row>
    <row r="128" spans="1:7">
      <c r="A128" s="4" t="s">
        <v>18</v>
      </c>
      <c r="B128">
        <v>8</v>
      </c>
    </row>
    <row r="129" spans="1:7">
      <c r="A129" s="4" t="s">
        <v>191</v>
      </c>
      <c r="B129">
        <v>6</v>
      </c>
    </row>
    <row r="130" spans="1:7">
      <c r="A130" s="4" t="s">
        <v>192</v>
      </c>
      <c r="B130">
        <v>2</v>
      </c>
    </row>
    <row r="131" spans="1:7">
      <c r="A131" s="6" t="s">
        <v>193</v>
      </c>
      <c r="B131">
        <v>75</v>
      </c>
    </row>
    <row r="132" spans="1:7">
      <c r="A132" s="1"/>
    </row>
    <row r="133" spans="1:7">
      <c r="A133" s="4" t="s">
        <v>19</v>
      </c>
      <c r="B133">
        <v>5.6549227315149162</v>
      </c>
    </row>
    <row r="134" spans="1:7">
      <c r="A134" s="1" t="s">
        <v>20</v>
      </c>
      <c r="B134">
        <v>208.53546513757081</v>
      </c>
    </row>
    <row r="135" spans="1:7">
      <c r="A135" s="1" t="s">
        <v>23</v>
      </c>
      <c r="B135">
        <v>14.440757083254701</v>
      </c>
    </row>
    <row r="136" spans="1:7">
      <c r="A136" s="1" t="s">
        <v>24</v>
      </c>
      <c r="B136">
        <v>5.1055786295185337</v>
      </c>
    </row>
    <row r="137" spans="1:7">
      <c r="A137" s="1" t="s">
        <v>21</v>
      </c>
      <c r="B137">
        <v>1.1075968351207601</v>
      </c>
    </row>
    <row r="138" spans="1:7">
      <c r="A138" s="4" t="s">
        <v>22</v>
      </c>
      <c r="B138">
        <f>TDIST(ABS(B137),7,1)</f>
        <v>0.15231879136850568</v>
      </c>
    </row>
    <row r="139" spans="1:7">
      <c r="A139" s="1"/>
    </row>
    <row r="140" spans="1:7">
      <c r="A140" s="5" t="s">
        <v>123</v>
      </c>
    </row>
    <row r="141" spans="1:7">
      <c r="A141" s="4" t="s">
        <v>7</v>
      </c>
      <c r="B141" s="3" t="s">
        <v>8</v>
      </c>
      <c r="C141" s="3" t="s">
        <v>9</v>
      </c>
      <c r="D141" s="3" t="s">
        <v>10</v>
      </c>
      <c r="E141" s="3" t="s">
        <v>11</v>
      </c>
      <c r="F141" s="3" t="s">
        <v>12</v>
      </c>
      <c r="G141" s="3" t="s">
        <v>13</v>
      </c>
    </row>
    <row r="142" spans="1:7">
      <c r="A142" s="1" t="s">
        <v>1480</v>
      </c>
      <c r="B142">
        <v>412.567757478418</v>
      </c>
      <c r="C142">
        <v>386.18640920906057</v>
      </c>
      <c r="D142">
        <v>373.366521468575</v>
      </c>
    </row>
    <row r="143" spans="1:7">
      <c r="A143" s="1" t="s">
        <v>1481</v>
      </c>
      <c r="B143">
        <v>373.76657031795071</v>
      </c>
      <c r="C143">
        <v>358.03083043262058</v>
      </c>
      <c r="D143">
        <v>350.20936429387137</v>
      </c>
    </row>
    <row r="144" spans="1:7">
      <c r="A144" t="s">
        <v>1482</v>
      </c>
      <c r="B144">
        <v>362.61019404140546</v>
      </c>
      <c r="C144">
        <v>368.38066001534918</v>
      </c>
      <c r="D144">
        <v>374.39161362785472</v>
      </c>
    </row>
    <row r="145" spans="1:4">
      <c r="A145" t="s">
        <v>1483</v>
      </c>
      <c r="B145">
        <v>353.46979530703948</v>
      </c>
      <c r="C145">
        <v>372.06994915044032</v>
      </c>
      <c r="D145">
        <v>383.57511679370543</v>
      </c>
    </row>
    <row r="146" spans="1:4">
      <c r="A146" t="s">
        <v>1484</v>
      </c>
      <c r="B146">
        <v>360.26118936228767</v>
      </c>
      <c r="C146">
        <v>346.99522252954489</v>
      </c>
      <c r="D146">
        <v>329.13601795287371</v>
      </c>
    </row>
    <row r="147" spans="1:4">
      <c r="A147" t="s">
        <v>1485</v>
      </c>
      <c r="B147">
        <v>386.24558942777622</v>
      </c>
      <c r="C147">
        <v>370.919881305638</v>
      </c>
      <c r="D147">
        <v>391.81213110636691</v>
      </c>
    </row>
    <row r="148" spans="1:4">
      <c r="A148" s="1" t="s">
        <v>1486</v>
      </c>
      <c r="B148">
        <v>346.75869493443696</v>
      </c>
      <c r="C148">
        <v>325.58139534883719</v>
      </c>
      <c r="D148">
        <v>325.5641879393267</v>
      </c>
    </row>
    <row r="149" spans="1:4">
      <c r="A149" s="1" t="s">
        <v>1487</v>
      </c>
      <c r="B149">
        <v>315.21276861881768</v>
      </c>
      <c r="C149">
        <v>339.44164309433035</v>
      </c>
      <c r="D149">
        <v>329.79387882573394</v>
      </c>
    </row>
    <row r="150" spans="1:4">
      <c r="A150" s="1" t="s">
        <v>1488</v>
      </c>
      <c r="B150">
        <v>431.03018209029682</v>
      </c>
      <c r="C150">
        <v>425.69365260357279</v>
      </c>
      <c r="D150">
        <v>435.54443053817278</v>
      </c>
    </row>
    <row r="151" spans="1:4">
      <c r="A151" s="1" t="s">
        <v>1489</v>
      </c>
      <c r="B151">
        <v>407.87763670898727</v>
      </c>
      <c r="C151">
        <v>421.46057890274921</v>
      </c>
      <c r="D151">
        <v>411.71425070457047</v>
      </c>
    </row>
    <row r="152" spans="1:4">
      <c r="A152" s="1" t="s">
        <v>1490</v>
      </c>
      <c r="B152">
        <v>418.74827404413423</v>
      </c>
      <c r="C152">
        <v>469.10466582597735</v>
      </c>
      <c r="D152">
        <v>369.54915003695493</v>
      </c>
    </row>
    <row r="153" spans="1:4">
      <c r="A153" s="1" t="s">
        <v>1491</v>
      </c>
      <c r="B153">
        <v>385.22308328944399</v>
      </c>
      <c r="C153">
        <v>374.71896077941545</v>
      </c>
      <c r="D153">
        <v>365.38949505201725</v>
      </c>
    </row>
    <row r="154" spans="1:4">
      <c r="A154" s="1" t="s">
        <v>1492</v>
      </c>
      <c r="B154">
        <v>351.22829839395604</v>
      </c>
      <c r="C154">
        <v>382.07200587803084</v>
      </c>
      <c r="D154">
        <v>370.75180226570546</v>
      </c>
    </row>
    <row r="155" spans="1:4">
      <c r="A155" s="1" t="s">
        <v>1493</v>
      </c>
      <c r="B155">
        <v>331.33043938844651</v>
      </c>
      <c r="C155">
        <v>300.60120240480961</v>
      </c>
      <c r="D155">
        <v>293.47406358604712</v>
      </c>
    </row>
    <row r="156" spans="1:4">
      <c r="A156" t="s">
        <v>1494</v>
      </c>
      <c r="B156">
        <v>403.36636621682186</v>
      </c>
      <c r="C156">
        <v>385.45547989207245</v>
      </c>
      <c r="D156">
        <v>378.11948575749932</v>
      </c>
    </row>
    <row r="157" spans="1:4">
      <c r="A157" t="s">
        <v>1495</v>
      </c>
      <c r="B157">
        <v>385.37772536819131</v>
      </c>
      <c r="C157">
        <v>371.19524870081665</v>
      </c>
      <c r="D157">
        <v>350.53554040895813</v>
      </c>
    </row>
    <row r="159" spans="1:4">
      <c r="A159" s="3" t="s">
        <v>18</v>
      </c>
      <c r="B159">
        <v>16</v>
      </c>
    </row>
    <row r="160" spans="1:4">
      <c r="A160" s="4" t="s">
        <v>191</v>
      </c>
      <c r="B160">
        <v>12</v>
      </c>
    </row>
    <row r="161" spans="1:7">
      <c r="A161" s="4" t="s">
        <v>192</v>
      </c>
      <c r="B161">
        <v>4</v>
      </c>
    </row>
    <row r="162" spans="1:7">
      <c r="A162" s="6" t="s">
        <v>193</v>
      </c>
      <c r="B162">
        <v>75</v>
      </c>
    </row>
    <row r="163" spans="1:7">
      <c r="A163" s="1"/>
    </row>
    <row r="164" spans="1:7">
      <c r="A164" s="4" t="s">
        <v>19</v>
      </c>
      <c r="B164">
        <v>10.31129598218951</v>
      </c>
    </row>
    <row r="165" spans="1:7">
      <c r="A165" s="1" t="s">
        <v>20</v>
      </c>
      <c r="B165">
        <v>692.7552608220866</v>
      </c>
    </row>
    <row r="166" spans="1:7">
      <c r="A166" s="1" t="s">
        <v>23</v>
      </c>
      <c r="B166">
        <v>26.320244315395072</v>
      </c>
    </row>
    <row r="167" spans="1:7">
      <c r="A167" t="s">
        <v>24</v>
      </c>
      <c r="B167">
        <v>6.5800610788487681</v>
      </c>
    </row>
    <row r="168" spans="1:7">
      <c r="A168" t="s">
        <v>21</v>
      </c>
      <c r="B168">
        <v>1.5670517125341865</v>
      </c>
    </row>
    <row r="169" spans="1:7">
      <c r="A169" s="3" t="s">
        <v>22</v>
      </c>
      <c r="B169">
        <f>TDIST(ABS(B168),15,1)</f>
        <v>6.8976252966164275E-2</v>
      </c>
    </row>
    <row r="171" spans="1:7">
      <c r="A171" s="5" t="s">
        <v>124</v>
      </c>
    </row>
    <row r="172" spans="1:7">
      <c r="A172" s="4" t="s">
        <v>7</v>
      </c>
      <c r="B172" s="3" t="s">
        <v>8</v>
      </c>
      <c r="C172" s="3" t="s">
        <v>9</v>
      </c>
      <c r="D172" s="3" t="s">
        <v>10</v>
      </c>
      <c r="E172" s="3" t="s">
        <v>11</v>
      </c>
      <c r="F172" s="3" t="s">
        <v>12</v>
      </c>
      <c r="G172" s="3" t="s">
        <v>13</v>
      </c>
    </row>
    <row r="173" spans="1:7">
      <c r="A173" s="1" t="s">
        <v>1448</v>
      </c>
      <c r="B173">
        <v>350.03017501508754</v>
      </c>
      <c r="C173">
        <v>331.95020746887968</v>
      </c>
      <c r="D173">
        <v>346.86439612919446</v>
      </c>
    </row>
    <row r="174" spans="1:7">
      <c r="A174" s="1" t="s">
        <v>1449</v>
      </c>
      <c r="B174">
        <v>352.75653322039807</v>
      </c>
      <c r="C174">
        <v>400.09878982464801</v>
      </c>
      <c r="D174">
        <v>387.00074423220047</v>
      </c>
    </row>
    <row r="175" spans="1:7">
      <c r="A175" s="1" t="s">
        <v>1450</v>
      </c>
      <c r="B175">
        <v>346.21624628792182</v>
      </c>
      <c r="C175">
        <v>306.27871362940277</v>
      </c>
      <c r="D175">
        <v>309.35428431131839</v>
      </c>
    </row>
    <row r="176" spans="1:7">
      <c r="A176" s="1" t="s">
        <v>1451</v>
      </c>
      <c r="B176">
        <v>303.90411474135556</v>
      </c>
      <c r="C176">
        <v>332.53558382667842</v>
      </c>
      <c r="D176">
        <v>319.14893617021278</v>
      </c>
    </row>
    <row r="177" spans="1:5">
      <c r="A177" s="1" t="s">
        <v>1452</v>
      </c>
      <c r="B177">
        <v>347.79132520487707</v>
      </c>
      <c r="C177">
        <v>392.15686274509807</v>
      </c>
      <c r="D177">
        <v>384.52058171062356</v>
      </c>
    </row>
    <row r="178" spans="1:5">
      <c r="A178" s="1" t="s">
        <v>1453</v>
      </c>
      <c r="B178">
        <v>403.92323003767916</v>
      </c>
      <c r="C178">
        <v>344.95688038995127</v>
      </c>
      <c r="D178">
        <v>366.2109375</v>
      </c>
    </row>
    <row r="179" spans="1:5">
      <c r="A179" s="1" t="s">
        <v>1454</v>
      </c>
      <c r="B179">
        <v>366.74930596819331</v>
      </c>
      <c r="C179">
        <v>373.04153195722455</v>
      </c>
      <c r="D179">
        <v>376.1755485893417</v>
      </c>
    </row>
    <row r="180" spans="1:5">
      <c r="A180" s="1" t="s">
        <v>1455</v>
      </c>
      <c r="B180" t="e">
        <f>NA()</f>
        <v>#N/A</v>
      </c>
      <c r="C180">
        <v>356.03715170278633</v>
      </c>
      <c r="D180">
        <v>323.65784741844334</v>
      </c>
      <c r="E180" t="s">
        <v>15</v>
      </c>
    </row>
    <row r="181" spans="1:5">
      <c r="A181" s="1"/>
    </row>
    <row r="182" spans="1:5">
      <c r="A182" s="4" t="s">
        <v>18</v>
      </c>
      <c r="B182">
        <v>8</v>
      </c>
    </row>
    <row r="183" spans="1:5">
      <c r="A183" s="4" t="s">
        <v>191</v>
      </c>
      <c r="B183">
        <v>4</v>
      </c>
    </row>
    <row r="184" spans="1:5">
      <c r="A184" s="4" t="s">
        <v>192</v>
      </c>
      <c r="B184">
        <v>4</v>
      </c>
    </row>
    <row r="185" spans="1:5">
      <c r="A185" s="6" t="s">
        <v>193</v>
      </c>
      <c r="B185">
        <v>50</v>
      </c>
    </row>
    <row r="186" spans="1:5">
      <c r="A186" s="1"/>
    </row>
    <row r="187" spans="1:5">
      <c r="A187" s="3" t="s">
        <v>19</v>
      </c>
      <c r="B187">
        <v>3.0153056854167986</v>
      </c>
    </row>
    <row r="188" spans="1:5">
      <c r="A188" t="s">
        <v>20</v>
      </c>
      <c r="B188">
        <v>296.88655472660065</v>
      </c>
    </row>
    <row r="189" spans="1:5">
      <c r="A189" t="s">
        <v>23</v>
      </c>
      <c r="B189">
        <v>17.230396244039213</v>
      </c>
    </row>
    <row r="190" spans="1:5">
      <c r="A190" t="s">
        <v>24</v>
      </c>
      <c r="B190">
        <v>6.0918650133456733</v>
      </c>
    </row>
    <row r="191" spans="1:5">
      <c r="A191" s="1" t="s">
        <v>21</v>
      </c>
      <c r="B191">
        <v>0.49497250494077877</v>
      </c>
    </row>
    <row r="192" spans="1:5">
      <c r="A192" s="4" t="s">
        <v>22</v>
      </c>
      <c r="B192">
        <f>TDIST(ABS(B191),7,1)</f>
        <v>0.31788796094492283</v>
      </c>
    </row>
    <row r="193" spans="1:7">
      <c r="A193" s="1"/>
    </row>
    <row r="194" spans="1:7">
      <c r="A194" s="5" t="s">
        <v>125</v>
      </c>
    </row>
    <row r="195" spans="1:7">
      <c r="A195" s="4" t="s">
        <v>7</v>
      </c>
      <c r="B195" s="3" t="s">
        <v>8</v>
      </c>
      <c r="C195" s="3" t="s">
        <v>9</v>
      </c>
      <c r="D195" s="3" t="s">
        <v>10</v>
      </c>
      <c r="E195" s="3" t="s">
        <v>11</v>
      </c>
      <c r="F195" s="3" t="s">
        <v>12</v>
      </c>
      <c r="G195" s="3" t="s">
        <v>13</v>
      </c>
    </row>
    <row r="196" spans="1:7">
      <c r="A196" s="1" t="s">
        <v>1456</v>
      </c>
      <c r="B196">
        <v>334.84478549005928</v>
      </c>
      <c r="C196">
        <v>293.17217436029318</v>
      </c>
      <c r="D196">
        <v>294.53558971709083</v>
      </c>
    </row>
    <row r="197" spans="1:7">
      <c r="A197" s="1" t="s">
        <v>1457</v>
      </c>
      <c r="B197">
        <v>304.57610670117202</v>
      </c>
      <c r="C197">
        <v>284.78641019235579</v>
      </c>
      <c r="D197">
        <v>293.32304129679659</v>
      </c>
    </row>
    <row r="198" spans="1:7">
      <c r="A198" s="1" t="s">
        <v>1458</v>
      </c>
      <c r="B198">
        <v>346.98515672781775</v>
      </c>
      <c r="C198">
        <v>357.46664939774638</v>
      </c>
      <c r="D198">
        <v>369.08881199538638</v>
      </c>
    </row>
    <row r="199" spans="1:7">
      <c r="A199" s="1" t="s">
        <v>1459</v>
      </c>
      <c r="B199">
        <v>369.44333199839804</v>
      </c>
      <c r="C199">
        <v>348.22104466313402</v>
      </c>
      <c r="D199">
        <v>317.70045385779122</v>
      </c>
    </row>
    <row r="200" spans="1:7">
      <c r="A200" s="1" t="s">
        <v>1460</v>
      </c>
      <c r="B200">
        <v>331.17028417990599</v>
      </c>
      <c r="C200">
        <v>313.12127236580517</v>
      </c>
      <c r="D200">
        <v>300.94043887147336</v>
      </c>
    </row>
    <row r="201" spans="1:7">
      <c r="A201" s="1" t="s">
        <v>1461</v>
      </c>
      <c r="B201">
        <v>309.94533326646274</v>
      </c>
      <c r="C201">
        <v>290.59393321437676</v>
      </c>
      <c r="D201">
        <v>290.59393321437676</v>
      </c>
    </row>
    <row r="202" spans="1:7">
      <c r="A202" s="1" t="s">
        <v>1462</v>
      </c>
      <c r="B202">
        <v>301.91717405525083</v>
      </c>
      <c r="C202">
        <v>286.57616892911011</v>
      </c>
      <c r="D202">
        <v>304.29821224800304</v>
      </c>
    </row>
    <row r="203" spans="1:7">
      <c r="A203" s="1" t="s">
        <v>1463</v>
      </c>
      <c r="B203">
        <v>371.19935618539853</v>
      </c>
      <c r="C203">
        <v>360.45056320400505</v>
      </c>
      <c r="D203">
        <v>398.18114784318544</v>
      </c>
    </row>
    <row r="204" spans="1:7">
      <c r="A204" s="1" t="s">
        <v>1464</v>
      </c>
      <c r="B204">
        <v>404.00009975311104</v>
      </c>
      <c r="C204">
        <v>362.7569528415961</v>
      </c>
      <c r="D204">
        <v>360.90225563909775</v>
      </c>
    </row>
    <row r="205" spans="1:7">
      <c r="A205" s="1" t="s">
        <v>1465</v>
      </c>
      <c r="B205">
        <v>363.42702675643881</v>
      </c>
      <c r="C205">
        <v>380.859375</v>
      </c>
      <c r="D205">
        <v>350.16493275818323</v>
      </c>
    </row>
    <row r="206" spans="1:7">
      <c r="A206" t="s">
        <v>1466</v>
      </c>
      <c r="B206">
        <v>386.58042433241889</v>
      </c>
      <c r="C206">
        <v>349.27866362946088</v>
      </c>
      <c r="D206">
        <v>344.95688038995127</v>
      </c>
    </row>
    <row r="207" spans="1:7">
      <c r="A207" t="s">
        <v>1467</v>
      </c>
      <c r="B207">
        <v>352.87081339712921</v>
      </c>
      <c r="C207">
        <v>337.16475095785438</v>
      </c>
      <c r="D207">
        <v>337.82129742962059</v>
      </c>
    </row>
    <row r="208" spans="1:7">
      <c r="A208" t="s">
        <v>1468</v>
      </c>
      <c r="B208">
        <v>344.95688038995127</v>
      </c>
      <c r="C208">
        <v>388.34951456310682</v>
      </c>
      <c r="D208">
        <v>330.74417439238283</v>
      </c>
    </row>
    <row r="209" spans="1:4">
      <c r="A209" t="s">
        <v>1469</v>
      </c>
      <c r="B209">
        <v>316.26843034386735</v>
      </c>
      <c r="C209">
        <v>375.51633496057082</v>
      </c>
      <c r="D209">
        <v>389.75640224859467</v>
      </c>
    </row>
    <row r="210" spans="1:4">
      <c r="A210" s="1" t="s">
        <v>1470</v>
      </c>
      <c r="B210">
        <v>394.78640849845556</v>
      </c>
      <c r="C210">
        <v>435.87174348697397</v>
      </c>
      <c r="D210">
        <v>373.64553493585754</v>
      </c>
    </row>
    <row r="211" spans="1:4">
      <c r="A211" s="1" t="s">
        <v>1471</v>
      </c>
      <c r="B211">
        <v>368.92621475704863</v>
      </c>
      <c r="C211">
        <v>375.04688086010754</v>
      </c>
      <c r="D211">
        <v>356.08308605341244</v>
      </c>
    </row>
    <row r="212" spans="1:4">
      <c r="A212" s="1"/>
    </row>
    <row r="213" spans="1:4">
      <c r="A213" s="4" t="s">
        <v>18</v>
      </c>
      <c r="B213">
        <v>16</v>
      </c>
    </row>
    <row r="214" spans="1:4">
      <c r="A214" s="4" t="s">
        <v>191</v>
      </c>
      <c r="B214">
        <v>8</v>
      </c>
    </row>
    <row r="215" spans="1:4">
      <c r="A215" s="4" t="s">
        <v>192</v>
      </c>
      <c r="B215">
        <v>8</v>
      </c>
    </row>
    <row r="216" spans="1:4">
      <c r="A216" s="6" t="s">
        <v>193</v>
      </c>
      <c r="B216">
        <v>50</v>
      </c>
    </row>
    <row r="217" spans="1:4">
      <c r="A217" s="1"/>
    </row>
    <row r="218" spans="1:4">
      <c r="A218" s="3" t="s">
        <v>19</v>
      </c>
      <c r="B218">
        <v>7.9060149834558153</v>
      </c>
    </row>
    <row r="219" spans="1:4">
      <c r="A219" t="s">
        <v>20</v>
      </c>
      <c r="B219">
        <v>716.32348664594008</v>
      </c>
    </row>
    <row r="220" spans="1:4">
      <c r="A220" t="s">
        <v>23</v>
      </c>
      <c r="B220">
        <v>26.764220269717182</v>
      </c>
    </row>
    <row r="221" spans="1:4">
      <c r="A221" t="s">
        <v>24</v>
      </c>
      <c r="B221">
        <v>6.6910550674292955</v>
      </c>
    </row>
    <row r="222" spans="1:4">
      <c r="A222" s="1" t="s">
        <v>21</v>
      </c>
      <c r="B222">
        <v>1.1815797215510451</v>
      </c>
    </row>
    <row r="223" spans="1:4">
      <c r="A223" s="4" t="s">
        <v>22</v>
      </c>
      <c r="B223">
        <f>TDIST(ABS(B222),15,1)</f>
        <v>0.12788361488905753</v>
      </c>
    </row>
    <row r="224" spans="1:4">
      <c r="A224" s="1"/>
    </row>
    <row r="225" spans="1:7">
      <c r="A225" s="5" t="s">
        <v>126</v>
      </c>
    </row>
    <row r="226" spans="1:7">
      <c r="A226" s="4" t="s">
        <v>7</v>
      </c>
      <c r="B226" s="3" t="s">
        <v>8</v>
      </c>
      <c r="C226" s="3" t="s">
        <v>9</v>
      </c>
      <c r="D226" s="3" t="s">
        <v>10</v>
      </c>
      <c r="E226" s="3" t="s">
        <v>11</v>
      </c>
      <c r="F226" s="3" t="s">
        <v>12</v>
      </c>
      <c r="G226" s="3" t="s">
        <v>13</v>
      </c>
    </row>
    <row r="227" spans="1:7">
      <c r="A227" s="1" t="s">
        <v>1496</v>
      </c>
      <c r="B227">
        <v>353.39922132374966</v>
      </c>
      <c r="C227">
        <v>339.98521803399854</v>
      </c>
      <c r="D227">
        <v>349.05779688883268</v>
      </c>
    </row>
    <row r="228" spans="1:7">
      <c r="A228" s="1" t="s">
        <v>1497</v>
      </c>
      <c r="B228">
        <v>359.49670461354106</v>
      </c>
      <c r="C228">
        <v>402.58449304174951</v>
      </c>
      <c r="D228">
        <v>365.71428571428572</v>
      </c>
    </row>
    <row r="229" spans="1:7">
      <c r="A229" t="s">
        <v>1498</v>
      </c>
      <c r="B229">
        <v>369.9340835609915</v>
      </c>
      <c r="C229">
        <v>458.07166605097893</v>
      </c>
      <c r="D229">
        <v>405.15193197449042</v>
      </c>
    </row>
    <row r="230" spans="1:7">
      <c r="A230" t="s">
        <v>1499</v>
      </c>
      <c r="B230">
        <v>398.85043108834185</v>
      </c>
      <c r="C230">
        <v>371.31941221640341</v>
      </c>
      <c r="D230">
        <v>363.95804372551498</v>
      </c>
    </row>
    <row r="231" spans="1:7">
      <c r="A231" t="s">
        <v>1500</v>
      </c>
      <c r="B231" t="e">
        <f>NA()</f>
        <v>#N/A</v>
      </c>
      <c r="C231">
        <v>292.39766081871346</v>
      </c>
      <c r="D231">
        <v>303.39513604623164</v>
      </c>
      <c r="E231" t="s">
        <v>29</v>
      </c>
    </row>
    <row r="232" spans="1:7">
      <c r="A232" t="s">
        <v>1501</v>
      </c>
      <c r="B232">
        <v>321.00802520063002</v>
      </c>
      <c r="C232">
        <v>303.46820809248555</v>
      </c>
      <c r="D232">
        <v>298.99090569328513</v>
      </c>
    </row>
    <row r="233" spans="1:7">
      <c r="A233" s="1" t="s">
        <v>1502</v>
      </c>
      <c r="B233">
        <v>365.54307116104872</v>
      </c>
      <c r="C233">
        <v>342.85714285714289</v>
      </c>
      <c r="D233">
        <v>333.08099924299773</v>
      </c>
    </row>
    <row r="234" spans="1:7">
      <c r="A234" s="1" t="s">
        <v>1503</v>
      </c>
      <c r="B234">
        <v>350.69314349943801</v>
      </c>
      <c r="C234">
        <v>374.90627343164209</v>
      </c>
      <c r="D234">
        <v>367.95707167497125</v>
      </c>
    </row>
    <row r="235" spans="1:7">
      <c r="A235" s="1"/>
    </row>
    <row r="236" spans="1:7">
      <c r="A236" s="4" t="s">
        <v>18</v>
      </c>
      <c r="B236">
        <v>8</v>
      </c>
    </row>
    <row r="237" spans="1:7">
      <c r="A237" s="4" t="s">
        <v>191</v>
      </c>
      <c r="B237">
        <v>6</v>
      </c>
    </row>
    <row r="238" spans="1:7">
      <c r="A238" s="4" t="s">
        <v>192</v>
      </c>
      <c r="B238">
        <v>2</v>
      </c>
    </row>
    <row r="239" spans="1:7">
      <c r="A239" s="6" t="s">
        <v>193</v>
      </c>
      <c r="B239">
        <v>75</v>
      </c>
    </row>
    <row r="240" spans="1:7">
      <c r="A240" s="1"/>
    </row>
    <row r="241" spans="1:7">
      <c r="A241" s="3" t="s">
        <v>19</v>
      </c>
      <c r="B241">
        <v>12.285487947813102</v>
      </c>
    </row>
    <row r="242" spans="1:7">
      <c r="A242" t="s">
        <v>20</v>
      </c>
      <c r="B242">
        <v>481.97160721120491</v>
      </c>
    </row>
    <row r="243" spans="1:7">
      <c r="A243" t="s">
        <v>23</v>
      </c>
      <c r="B243">
        <v>21.953851762531443</v>
      </c>
    </row>
    <row r="244" spans="1:7">
      <c r="A244" t="s">
        <v>24</v>
      </c>
      <c r="B244">
        <v>7.7618587272251105</v>
      </c>
    </row>
    <row r="245" spans="1:7">
      <c r="A245" s="1" t="s">
        <v>21</v>
      </c>
      <c r="B245">
        <v>1.5828023131522782</v>
      </c>
    </row>
    <row r="246" spans="1:7">
      <c r="A246" s="4" t="s">
        <v>22</v>
      </c>
      <c r="B246">
        <f>TDIST(ABS(B245),7,1)</f>
        <v>7.8741085151793302E-2</v>
      </c>
    </row>
    <row r="247" spans="1:7">
      <c r="A247" s="1"/>
    </row>
    <row r="248" spans="1:7">
      <c r="A248" s="5" t="s">
        <v>127</v>
      </c>
    </row>
    <row r="249" spans="1:7">
      <c r="A249" s="4" t="s">
        <v>7</v>
      </c>
      <c r="B249" s="3" t="s">
        <v>8</v>
      </c>
      <c r="C249" s="3" t="s">
        <v>9</v>
      </c>
      <c r="D249" s="3" t="s">
        <v>10</v>
      </c>
      <c r="E249" s="3" t="s">
        <v>11</v>
      </c>
      <c r="F249" s="3" t="s">
        <v>12</v>
      </c>
      <c r="G249" s="3" t="s">
        <v>13</v>
      </c>
    </row>
    <row r="250" spans="1:7">
      <c r="A250" s="1" t="s">
        <v>1504</v>
      </c>
      <c r="B250">
        <v>382.28064014448404</v>
      </c>
      <c r="C250">
        <v>394.03889871179587</v>
      </c>
      <c r="D250">
        <v>360.49568156214798</v>
      </c>
    </row>
    <row r="251" spans="1:7">
      <c r="A251" s="1" t="s">
        <v>1505</v>
      </c>
      <c r="B251">
        <v>382.61586717226794</v>
      </c>
      <c r="C251">
        <v>360.27020265198894</v>
      </c>
      <c r="D251">
        <v>353.03146584804296</v>
      </c>
    </row>
    <row r="252" spans="1:7">
      <c r="A252" s="1" t="s">
        <v>1506</v>
      </c>
      <c r="B252">
        <v>349.53196574387573</v>
      </c>
      <c r="C252">
        <v>399.90125894840776</v>
      </c>
      <c r="D252">
        <v>357.0985740855549</v>
      </c>
    </row>
    <row r="253" spans="1:7">
      <c r="A253" s="1" t="s">
        <v>1507</v>
      </c>
      <c r="B253">
        <v>393.64952171082285</v>
      </c>
      <c r="C253">
        <v>432.66911071019405</v>
      </c>
      <c r="D253">
        <v>390.78156312625248</v>
      </c>
    </row>
    <row r="254" spans="1:7">
      <c r="A254" s="1" t="s">
        <v>1512</v>
      </c>
      <c r="B254">
        <v>395.09129003292429</v>
      </c>
      <c r="C254">
        <v>440.13452942249563</v>
      </c>
      <c r="D254">
        <v>353.66478728856998</v>
      </c>
    </row>
    <row r="255" spans="1:7">
      <c r="A255" t="s">
        <v>1513</v>
      </c>
      <c r="B255">
        <v>377.33950493056955</v>
      </c>
      <c r="C255">
        <v>391.11540318686622</v>
      </c>
      <c r="D255">
        <v>387.62579202385393</v>
      </c>
    </row>
    <row r="256" spans="1:7">
      <c r="A256" t="s">
        <v>1514</v>
      </c>
      <c r="B256">
        <v>389.45355741169368</v>
      </c>
      <c r="C256">
        <v>364.00404448938326</v>
      </c>
      <c r="D256">
        <v>383.62227960162301</v>
      </c>
    </row>
    <row r="257" spans="1:4">
      <c r="A257" t="s">
        <v>1515</v>
      </c>
      <c r="B257">
        <v>384.21131622392318</v>
      </c>
      <c r="C257">
        <v>380.6345090186939</v>
      </c>
      <c r="D257">
        <v>372.76727931659332</v>
      </c>
    </row>
    <row r="258" spans="1:4">
      <c r="A258" t="s">
        <v>1516</v>
      </c>
      <c r="B258">
        <v>356.37882868144868</v>
      </c>
      <c r="C258">
        <v>325.79749970621998</v>
      </c>
      <c r="D258">
        <v>341.79566563467495</v>
      </c>
    </row>
    <row r="259" spans="1:4">
      <c r="A259" s="1" t="s">
        <v>1517</v>
      </c>
      <c r="B259">
        <v>342.92589992981044</v>
      </c>
      <c r="C259">
        <v>347.03885326291964</v>
      </c>
      <c r="D259">
        <v>374.29819089207734</v>
      </c>
    </row>
    <row r="260" spans="1:4">
      <c r="A260" s="1"/>
    </row>
    <row r="261" spans="1:4">
      <c r="A261" s="4" t="s">
        <v>18</v>
      </c>
      <c r="B261">
        <v>10</v>
      </c>
    </row>
    <row r="262" spans="1:4">
      <c r="A262" s="4" t="s">
        <v>191</v>
      </c>
      <c r="B262">
        <v>7</v>
      </c>
    </row>
    <row r="263" spans="1:4">
      <c r="A263" s="4" t="s">
        <v>192</v>
      </c>
      <c r="B263">
        <v>3</v>
      </c>
    </row>
    <row r="264" spans="1:4">
      <c r="A264" s="6" t="s">
        <v>193</v>
      </c>
      <c r="B264">
        <v>70</v>
      </c>
    </row>
    <row r="265" spans="1:4">
      <c r="A265" s="1"/>
    </row>
    <row r="266" spans="1:4">
      <c r="A266" s="4" t="s">
        <v>19</v>
      </c>
      <c r="B266">
        <v>16.042303072957438</v>
      </c>
    </row>
    <row r="267" spans="1:4">
      <c r="A267" s="1" t="s">
        <v>20</v>
      </c>
      <c r="B267">
        <v>1236.1781407134263</v>
      </c>
    </row>
    <row r="268" spans="1:4">
      <c r="A268" s="1" t="s">
        <v>23</v>
      </c>
      <c r="B268">
        <v>35.159325088992055</v>
      </c>
    </row>
    <row r="269" spans="1:4">
      <c r="A269" s="1" t="s">
        <v>24</v>
      </c>
      <c r="B269">
        <v>11.11835482755172</v>
      </c>
    </row>
    <row r="270" spans="1:4">
      <c r="A270" s="1" t="s">
        <v>21</v>
      </c>
      <c r="B270">
        <v>1.4428666220657018</v>
      </c>
    </row>
    <row r="271" spans="1:4">
      <c r="A271" s="4" t="s">
        <v>22</v>
      </c>
      <c r="B271">
        <f>TDIST(ABS(B270),9,1)</f>
        <v>9.1471509430173847E-2</v>
      </c>
    </row>
    <row r="272" spans="1:4">
      <c r="A272" s="1"/>
    </row>
    <row r="273" spans="1:7">
      <c r="A273" s="5" t="s">
        <v>128</v>
      </c>
    </row>
    <row r="274" spans="1:7">
      <c r="A274" s="3" t="s">
        <v>7</v>
      </c>
      <c r="B274" s="3" t="s">
        <v>8</v>
      </c>
      <c r="C274" s="3" t="s">
        <v>9</v>
      </c>
      <c r="D274" s="3" t="s">
        <v>10</v>
      </c>
      <c r="E274" s="3" t="s">
        <v>11</v>
      </c>
      <c r="F274" s="3" t="s">
        <v>12</v>
      </c>
      <c r="G274" s="3" t="s">
        <v>13</v>
      </c>
    </row>
    <row r="275" spans="1:7">
      <c r="A275" t="s">
        <v>1508</v>
      </c>
      <c r="B275">
        <v>406.92165760734053</v>
      </c>
      <c r="C275">
        <v>424.83246933872806</v>
      </c>
      <c r="D275">
        <v>405.60841261892841</v>
      </c>
    </row>
    <row r="276" spans="1:7">
      <c r="A276" t="s">
        <v>1509</v>
      </c>
      <c r="B276">
        <v>439.9283159530255</v>
      </c>
      <c r="C276">
        <v>469.34140802422411</v>
      </c>
      <c r="D276">
        <v>413.00191204588907</v>
      </c>
    </row>
    <row r="277" spans="1:7">
      <c r="A277" t="s">
        <v>1510</v>
      </c>
      <c r="B277">
        <v>421.37769587089701</v>
      </c>
      <c r="C277">
        <v>386.47342995169083</v>
      </c>
      <c r="D277">
        <v>371.65510406342912</v>
      </c>
    </row>
    <row r="278" spans="1:7">
      <c r="A278" s="1" t="s">
        <v>1511</v>
      </c>
      <c r="B278">
        <v>383.10171604351251</v>
      </c>
      <c r="C278">
        <v>384.47319778188535</v>
      </c>
      <c r="D278">
        <v>392.9965990678927</v>
      </c>
    </row>
    <row r="279" spans="1:7">
      <c r="A279" s="1" t="s">
        <v>1518</v>
      </c>
      <c r="B279">
        <v>354.54477741639147</v>
      </c>
      <c r="C279">
        <v>330.53712282458997</v>
      </c>
      <c r="D279">
        <v>338.4841795437822</v>
      </c>
    </row>
    <row r="280" spans="1:7">
      <c r="A280" s="1" t="s">
        <v>1519</v>
      </c>
      <c r="B280">
        <v>331.71663357877014</v>
      </c>
      <c r="C280">
        <v>320.93734080489048</v>
      </c>
      <c r="D280">
        <v>324.04566097950163</v>
      </c>
    </row>
    <row r="281" spans="1:7">
      <c r="A281" s="1" t="s">
        <v>1520</v>
      </c>
      <c r="B281">
        <v>312.65508684863528</v>
      </c>
      <c r="C281" t="e">
        <f>NA()</f>
        <v>#N/A</v>
      </c>
      <c r="D281" t="e">
        <f>NA()</f>
        <v>#N/A</v>
      </c>
      <c r="F281" t="s">
        <v>17</v>
      </c>
      <c r="G281" t="s">
        <v>17</v>
      </c>
    </row>
    <row r="282" spans="1:7">
      <c r="A282" s="1" t="s">
        <v>1521</v>
      </c>
      <c r="B282">
        <v>383.34830787660979</v>
      </c>
      <c r="C282">
        <v>432.29813664596276</v>
      </c>
      <c r="D282">
        <v>405.0506313289161</v>
      </c>
    </row>
    <row r="283" spans="1:7">
      <c r="A283" s="1" t="s">
        <v>1522</v>
      </c>
      <c r="B283">
        <v>370.73927438240173</v>
      </c>
      <c r="C283">
        <v>397.70554493307839</v>
      </c>
      <c r="D283">
        <v>396.76611004211139</v>
      </c>
    </row>
    <row r="284" spans="1:7">
      <c r="A284" s="1" t="s">
        <v>1523</v>
      </c>
      <c r="B284">
        <v>354.38982881169284</v>
      </c>
      <c r="C284">
        <v>308.16640986132512</v>
      </c>
      <c r="D284">
        <v>314.01869158878503</v>
      </c>
    </row>
    <row r="285" spans="1:7">
      <c r="A285" s="1"/>
    </row>
    <row r="286" spans="1:7">
      <c r="A286" s="4" t="s">
        <v>18</v>
      </c>
      <c r="B286">
        <v>9</v>
      </c>
    </row>
    <row r="287" spans="1:7">
      <c r="A287" s="4" t="s">
        <v>191</v>
      </c>
      <c r="B287">
        <v>5</v>
      </c>
    </row>
    <row r="288" spans="1:7">
      <c r="A288" s="4" t="s">
        <v>192</v>
      </c>
      <c r="B288">
        <v>4</v>
      </c>
    </row>
    <row r="289" spans="1:7">
      <c r="A289" s="6" t="s">
        <v>193</v>
      </c>
      <c r="B289">
        <v>55.555555555555557</v>
      </c>
    </row>
    <row r="290" spans="1:7">
      <c r="A290" s="1"/>
    </row>
    <row r="291" spans="1:7">
      <c r="A291" s="4" t="s">
        <v>19</v>
      </c>
      <c r="B291">
        <v>10.348639876348821</v>
      </c>
    </row>
    <row r="292" spans="1:7">
      <c r="A292" s="1" t="s">
        <v>20</v>
      </c>
      <c r="B292">
        <v>465.30760499988719</v>
      </c>
    </row>
    <row r="293" spans="1:7">
      <c r="A293" s="1" t="s">
        <v>23</v>
      </c>
      <c r="B293">
        <v>21.570989893833968</v>
      </c>
    </row>
    <row r="294" spans="1:7">
      <c r="A294" t="s">
        <v>24</v>
      </c>
      <c r="B294">
        <v>7.1903299646113226</v>
      </c>
    </row>
    <row r="295" spans="1:7">
      <c r="A295" t="s">
        <v>21</v>
      </c>
      <c r="B295">
        <v>1.4392440857765592</v>
      </c>
    </row>
    <row r="296" spans="1:7">
      <c r="A296" s="3" t="s">
        <v>22</v>
      </c>
      <c r="B296">
        <f>TDIST(ABS(B295),8,1)</f>
        <v>9.4017774292147971E-2</v>
      </c>
    </row>
    <row r="298" spans="1:7">
      <c r="A298" s="5" t="s">
        <v>129</v>
      </c>
    </row>
    <row r="299" spans="1:7">
      <c r="A299" s="4" t="s">
        <v>7</v>
      </c>
      <c r="B299" s="3" t="s">
        <v>8</v>
      </c>
      <c r="C299" s="3" t="s">
        <v>9</v>
      </c>
      <c r="D299" s="3" t="s">
        <v>10</v>
      </c>
      <c r="E299" s="3" t="s">
        <v>11</v>
      </c>
      <c r="F299" s="3" t="s">
        <v>12</v>
      </c>
      <c r="G299" s="3" t="s">
        <v>13</v>
      </c>
    </row>
    <row r="300" spans="1:7">
      <c r="A300" s="1" t="s">
        <v>1530</v>
      </c>
      <c r="B300">
        <v>335.2957905651765</v>
      </c>
      <c r="C300">
        <v>307.69230769230768</v>
      </c>
      <c r="D300">
        <v>307.29833546734955</v>
      </c>
    </row>
    <row r="301" spans="1:7">
      <c r="A301" s="1" t="s">
        <v>1531</v>
      </c>
      <c r="B301">
        <v>341.83762712711462</v>
      </c>
      <c r="C301">
        <v>296.66254635352288</v>
      </c>
      <c r="D301">
        <v>298.13664596273293</v>
      </c>
    </row>
    <row r="302" spans="1:7">
      <c r="A302" s="1" t="s">
        <v>1532</v>
      </c>
      <c r="B302">
        <v>300.953516090584</v>
      </c>
      <c r="C302">
        <v>319.75637609440429</v>
      </c>
      <c r="D302">
        <v>299.17726252804783</v>
      </c>
    </row>
    <row r="303" spans="1:7">
      <c r="A303" s="1" t="s">
        <v>1533</v>
      </c>
      <c r="B303">
        <v>302.22132675162447</v>
      </c>
      <c r="C303">
        <v>312.38873547659608</v>
      </c>
      <c r="D303">
        <v>294.55081001472752</v>
      </c>
    </row>
    <row r="304" spans="1:7">
      <c r="A304" t="s">
        <v>1538</v>
      </c>
      <c r="B304">
        <v>347.95650543682041</v>
      </c>
      <c r="C304">
        <v>325.0831178426302</v>
      </c>
      <c r="D304">
        <v>351.86129525752165</v>
      </c>
    </row>
    <row r="305" spans="1:4">
      <c r="A305" t="s">
        <v>1539</v>
      </c>
      <c r="B305">
        <v>325.27671109103227</v>
      </c>
      <c r="C305">
        <v>306.75593426658554</v>
      </c>
      <c r="D305">
        <v>357.23145621433889</v>
      </c>
    </row>
    <row r="306" spans="1:4">
      <c r="A306" t="s">
        <v>1540</v>
      </c>
      <c r="B306">
        <v>320.39925140361817</v>
      </c>
      <c r="C306">
        <v>303.4316676700783</v>
      </c>
      <c r="D306">
        <v>306.04809327179981</v>
      </c>
    </row>
    <row r="307" spans="1:4">
      <c r="A307" t="s">
        <v>1541</v>
      </c>
      <c r="B307">
        <v>352.99396719349852</v>
      </c>
      <c r="C307">
        <v>349.76555569636292</v>
      </c>
      <c r="D307">
        <v>344.98680345015532</v>
      </c>
    </row>
    <row r="308" spans="1:4">
      <c r="A308" s="1" t="s">
        <v>1542</v>
      </c>
      <c r="B308">
        <v>372.87625920914149</v>
      </c>
      <c r="C308">
        <v>389.70771921059207</v>
      </c>
      <c r="D308">
        <v>455.06257110352675</v>
      </c>
    </row>
    <row r="309" spans="1:4">
      <c r="A309" s="1" t="s">
        <v>1543</v>
      </c>
      <c r="B309">
        <v>412.06330247835177</v>
      </c>
      <c r="C309">
        <v>382.84839203675347</v>
      </c>
      <c r="D309">
        <v>408.42052187066679</v>
      </c>
    </row>
    <row r="310" spans="1:4">
      <c r="A310" s="1"/>
    </row>
    <row r="311" spans="1:4">
      <c r="A311" s="4" t="s">
        <v>18</v>
      </c>
      <c r="B311">
        <v>10</v>
      </c>
    </row>
    <row r="312" spans="1:4">
      <c r="A312" s="3" t="s">
        <v>191</v>
      </c>
      <c r="B312">
        <v>4</v>
      </c>
    </row>
    <row r="313" spans="1:4">
      <c r="A313" s="3" t="s">
        <v>192</v>
      </c>
      <c r="B313">
        <v>6</v>
      </c>
    </row>
    <row r="314" spans="1:4">
      <c r="A314" s="6" t="s">
        <v>193</v>
      </c>
      <c r="B314">
        <v>40</v>
      </c>
    </row>
    <row r="316" spans="1:4">
      <c r="A316" s="4" t="s">
        <v>19</v>
      </c>
      <c r="B316">
        <v>-12.86814428010336</v>
      </c>
    </row>
    <row r="317" spans="1:4">
      <c r="A317" s="1" t="s">
        <v>20</v>
      </c>
      <c r="B317">
        <v>811.98333992310847</v>
      </c>
    </row>
    <row r="318" spans="1:4">
      <c r="A318" s="1" t="s">
        <v>23</v>
      </c>
      <c r="B318">
        <v>28.495321369009133</v>
      </c>
    </row>
    <row r="319" spans="1:4">
      <c r="A319" s="1" t="s">
        <v>24</v>
      </c>
      <c r="B319">
        <v>9.0110118184536212</v>
      </c>
    </row>
    <row r="320" spans="1:4">
      <c r="A320" s="1" t="s">
        <v>21</v>
      </c>
      <c r="B320">
        <v>-1.4280465434248715</v>
      </c>
    </row>
    <row r="321" spans="1:7">
      <c r="A321" s="4" t="s">
        <v>22</v>
      </c>
      <c r="B321">
        <f>TDIST(ABS(B320),9,1)</f>
        <v>9.3522943212161092E-2</v>
      </c>
    </row>
    <row r="322" spans="1:7">
      <c r="A322" s="1"/>
    </row>
    <row r="323" spans="1:7">
      <c r="A323" s="5" t="s">
        <v>130</v>
      </c>
    </row>
    <row r="324" spans="1:7">
      <c r="A324" s="4" t="s">
        <v>7</v>
      </c>
      <c r="B324" s="3" t="s">
        <v>8</v>
      </c>
      <c r="C324" s="3" t="s">
        <v>9</v>
      </c>
      <c r="D324" s="3" t="s">
        <v>10</v>
      </c>
      <c r="E324" s="3" t="s">
        <v>11</v>
      </c>
      <c r="F324" s="3" t="s">
        <v>12</v>
      </c>
      <c r="G324" s="3" t="s">
        <v>13</v>
      </c>
    </row>
    <row r="325" spans="1:7">
      <c r="A325" s="1" t="s">
        <v>1550</v>
      </c>
      <c r="B325">
        <v>338.58168535079989</v>
      </c>
      <c r="C325">
        <v>353.24420458726848</v>
      </c>
      <c r="D325">
        <v>378.50297221885239</v>
      </c>
    </row>
    <row r="326" spans="1:7">
      <c r="A326" s="1" t="s">
        <v>1551</v>
      </c>
      <c r="B326">
        <v>392.31064169037666</v>
      </c>
      <c r="C326">
        <v>413.84595733810193</v>
      </c>
      <c r="D326">
        <v>396.23333740980797</v>
      </c>
    </row>
    <row r="327" spans="1:7">
      <c r="A327" s="1" t="s">
        <v>1552</v>
      </c>
      <c r="B327">
        <v>408.54131724535011</v>
      </c>
      <c r="C327">
        <v>370.14188772362741</v>
      </c>
      <c r="D327">
        <v>401.54440154440152</v>
      </c>
    </row>
    <row r="328" spans="1:7">
      <c r="A328" s="1" t="s">
        <v>1553</v>
      </c>
      <c r="B328">
        <v>349.3927931515031</v>
      </c>
      <c r="C328">
        <v>358.69971353842323</v>
      </c>
      <c r="D328">
        <v>334.34650455927056</v>
      </c>
    </row>
    <row r="329" spans="1:7">
      <c r="A329" s="1"/>
    </row>
    <row r="330" spans="1:7">
      <c r="A330" s="4" t="s">
        <v>18</v>
      </c>
      <c r="B330">
        <v>4</v>
      </c>
    </row>
    <row r="331" spans="1:7">
      <c r="A331" s="4" t="s">
        <v>191</v>
      </c>
      <c r="B331">
        <v>2</v>
      </c>
    </row>
    <row r="332" spans="1:7">
      <c r="A332" s="4" t="s">
        <v>192</v>
      </c>
      <c r="B332">
        <v>2</v>
      </c>
    </row>
    <row r="333" spans="1:7">
      <c r="A333" s="6" t="s">
        <v>193</v>
      </c>
      <c r="B333">
        <v>50</v>
      </c>
    </row>
    <row r="335" spans="1:7">
      <c r="A335" s="3" t="s">
        <v>19</v>
      </c>
      <c r="B335">
        <v>-3.6738631362278507</v>
      </c>
    </row>
    <row r="336" spans="1:7">
      <c r="A336" t="s">
        <v>20</v>
      </c>
      <c r="B336">
        <v>824.47243449204814</v>
      </c>
    </row>
    <row r="337" spans="1:7">
      <c r="A337" s="1" t="s">
        <v>23</v>
      </c>
      <c r="B337">
        <v>28.713628027333087</v>
      </c>
    </row>
    <row r="338" spans="1:7">
      <c r="A338" s="1" t="s">
        <v>24</v>
      </c>
      <c r="B338">
        <v>14.356814013666543</v>
      </c>
    </row>
    <row r="339" spans="1:7">
      <c r="A339" s="1" t="s">
        <v>21</v>
      </c>
      <c r="B339">
        <v>-0.25589682590654345</v>
      </c>
    </row>
    <row r="340" spans="1:7">
      <c r="A340" s="4" t="s">
        <v>22</v>
      </c>
      <c r="B340">
        <f>TDIST(ABS(B339),3,1)</f>
        <v>0.40728679602488016</v>
      </c>
    </row>
    <row r="341" spans="1:7">
      <c r="A341" s="1"/>
    </row>
    <row r="342" spans="1:7">
      <c r="A342" s="5" t="s">
        <v>131</v>
      </c>
    </row>
    <row r="343" spans="1:7">
      <c r="A343" s="4" t="s">
        <v>7</v>
      </c>
      <c r="B343" s="3" t="s">
        <v>8</v>
      </c>
      <c r="C343" s="3" t="s">
        <v>9</v>
      </c>
      <c r="D343" s="3" t="s">
        <v>10</v>
      </c>
      <c r="E343" s="3" t="s">
        <v>11</v>
      </c>
      <c r="F343" s="3" t="s">
        <v>12</v>
      </c>
      <c r="G343" s="3" t="s">
        <v>13</v>
      </c>
    </row>
    <row r="344" spans="1:7">
      <c r="A344" s="1" t="s">
        <v>1534</v>
      </c>
      <c r="B344">
        <v>318.96486872790194</v>
      </c>
      <c r="C344">
        <v>295.23926682248737</v>
      </c>
      <c r="D344">
        <v>292.21965177158165</v>
      </c>
    </row>
    <row r="345" spans="1:7">
      <c r="A345" s="1" t="s">
        <v>1535</v>
      </c>
      <c r="B345">
        <v>336.09242541698967</v>
      </c>
      <c r="C345">
        <v>402.78468423669818</v>
      </c>
      <c r="D345">
        <v>406.67754487259947</v>
      </c>
    </row>
    <row r="346" spans="1:7">
      <c r="A346" s="1" t="s">
        <v>1536</v>
      </c>
      <c r="B346">
        <v>405.74160972301269</v>
      </c>
      <c r="C346">
        <v>384.75767665556793</v>
      </c>
      <c r="D346">
        <v>396.28180039138942</v>
      </c>
    </row>
    <row r="347" spans="1:7">
      <c r="A347" s="1" t="s">
        <v>1537</v>
      </c>
      <c r="B347">
        <v>362.79139494790496</v>
      </c>
      <c r="C347">
        <v>377.07390648567122</v>
      </c>
      <c r="D347">
        <v>345.60553791323025</v>
      </c>
    </row>
    <row r="348" spans="1:7">
      <c r="A348" s="1"/>
    </row>
    <row r="349" spans="1:7">
      <c r="A349" s="4" t="s">
        <v>18</v>
      </c>
      <c r="B349">
        <v>4</v>
      </c>
    </row>
    <row r="350" spans="1:7">
      <c r="A350" s="4" t="s">
        <v>191</v>
      </c>
      <c r="B350">
        <v>2</v>
      </c>
    </row>
    <row r="351" spans="1:7">
      <c r="A351" s="3" t="s">
        <v>192</v>
      </c>
      <c r="B351">
        <v>2</v>
      </c>
    </row>
    <row r="352" spans="1:7">
      <c r="A352" s="6" t="s">
        <v>193</v>
      </c>
      <c r="B352">
        <v>50</v>
      </c>
    </row>
    <row r="354" spans="1:7">
      <c r="A354" s="3" t="s">
        <v>19</v>
      </c>
      <c r="B354">
        <v>4.7677498129059757</v>
      </c>
    </row>
    <row r="355" spans="1:7">
      <c r="A355" s="1" t="s">
        <v>20</v>
      </c>
      <c r="B355">
        <v>352.13677812062025</v>
      </c>
    </row>
    <row r="356" spans="1:7">
      <c r="A356" s="1" t="s">
        <v>23</v>
      </c>
      <c r="B356">
        <v>18.765307834422014</v>
      </c>
    </row>
    <row r="357" spans="1:7">
      <c r="A357" t="s">
        <v>24</v>
      </c>
      <c r="B357">
        <v>9.3826539172110071</v>
      </c>
    </row>
    <row r="358" spans="1:7">
      <c r="A358" t="s">
        <v>21</v>
      </c>
      <c r="B358">
        <v>0.50814512130307676</v>
      </c>
    </row>
    <row r="359" spans="1:7">
      <c r="A359" s="3" t="s">
        <v>22</v>
      </c>
      <c r="B359">
        <f>TDIST(ABS(B358),3,1)</f>
        <v>0.32317949748331198</v>
      </c>
    </row>
    <row r="361" spans="1:7">
      <c r="A361" s="5" t="s">
        <v>132</v>
      </c>
    </row>
    <row r="362" spans="1:7">
      <c r="A362" s="4" t="s">
        <v>7</v>
      </c>
      <c r="B362" s="3" t="s">
        <v>8</v>
      </c>
      <c r="C362" s="3" t="s">
        <v>9</v>
      </c>
      <c r="D362" s="3" t="s">
        <v>10</v>
      </c>
      <c r="E362" s="3" t="s">
        <v>11</v>
      </c>
      <c r="F362" s="3" t="s">
        <v>12</v>
      </c>
      <c r="G362" s="3" t="s">
        <v>13</v>
      </c>
    </row>
    <row r="363" spans="1:7">
      <c r="A363" t="s">
        <v>1554</v>
      </c>
      <c r="B363">
        <v>292.7412127850244</v>
      </c>
      <c r="C363">
        <v>414.8660328435609</v>
      </c>
      <c r="D363">
        <v>399.5067817509248</v>
      </c>
    </row>
    <row r="364" spans="1:7">
      <c r="A364" t="s">
        <v>1555</v>
      </c>
      <c r="B364">
        <v>375.81740285120134</v>
      </c>
      <c r="C364">
        <v>358.38725734196123</v>
      </c>
      <c r="D364">
        <v>356.52389205248824</v>
      </c>
    </row>
    <row r="365" spans="1:7">
      <c r="A365" t="s">
        <v>1556</v>
      </c>
      <c r="B365">
        <v>312.23417563172376</v>
      </c>
      <c r="C365">
        <v>323.20123124278564</v>
      </c>
      <c r="D365">
        <v>342.77198211624437</v>
      </c>
    </row>
    <row r="366" spans="1:7">
      <c r="A366" t="s">
        <v>1557</v>
      </c>
      <c r="B366">
        <v>360.46860919194955</v>
      </c>
      <c r="C366">
        <v>341.24629080118694</v>
      </c>
      <c r="D366">
        <v>335.79241923174766</v>
      </c>
    </row>
    <row r="367" spans="1:7">
      <c r="A367" s="1" t="s">
        <v>1558</v>
      </c>
      <c r="B367">
        <v>359.31729713544263</v>
      </c>
      <c r="C367">
        <v>331.99195171026156</v>
      </c>
      <c r="D367">
        <v>322.45681381957775</v>
      </c>
    </row>
    <row r="368" spans="1:7">
      <c r="A368" t="s">
        <v>1559</v>
      </c>
      <c r="B368">
        <v>353.39424601676359</v>
      </c>
      <c r="C368">
        <v>322.2094361334868</v>
      </c>
      <c r="D368">
        <v>338.37477569853883</v>
      </c>
    </row>
    <row r="369" spans="1:4">
      <c r="A369" t="s">
        <v>1560</v>
      </c>
      <c r="B369">
        <v>318.16703769478977</v>
      </c>
      <c r="C369">
        <v>317.9409538228615</v>
      </c>
      <c r="D369">
        <v>311.68831168831167</v>
      </c>
    </row>
    <row r="370" spans="1:4">
      <c r="A370" t="s">
        <v>1561</v>
      </c>
      <c r="B370">
        <v>316.13016534109443</v>
      </c>
      <c r="C370">
        <v>311.45717463848723</v>
      </c>
      <c r="D370">
        <v>310.76581576026638</v>
      </c>
    </row>
    <row r="371" spans="1:4">
      <c r="A371" t="s">
        <v>1562</v>
      </c>
      <c r="B371">
        <v>308.15258040388932</v>
      </c>
      <c r="C371">
        <v>308.10612544320821</v>
      </c>
      <c r="D371">
        <v>309.19866013913941</v>
      </c>
    </row>
    <row r="372" spans="1:4">
      <c r="A372" s="1" t="s">
        <v>1563</v>
      </c>
      <c r="B372">
        <v>310.71828706585336</v>
      </c>
      <c r="C372">
        <v>300.52592036063112</v>
      </c>
      <c r="D372">
        <v>336.13445378151266</v>
      </c>
    </row>
    <row r="374" spans="1:4">
      <c r="A374" s="3" t="s">
        <v>18</v>
      </c>
      <c r="B374">
        <v>10</v>
      </c>
    </row>
    <row r="375" spans="1:4">
      <c r="A375" s="3" t="s">
        <v>191</v>
      </c>
      <c r="B375">
        <v>6</v>
      </c>
    </row>
    <row r="376" spans="1:4">
      <c r="A376" s="3" t="s">
        <v>192</v>
      </c>
      <c r="B376">
        <v>4</v>
      </c>
    </row>
    <row r="377" spans="1:4">
      <c r="A377" s="6" t="s">
        <v>193</v>
      </c>
      <c r="B377">
        <v>60</v>
      </c>
    </row>
    <row r="379" spans="1:4">
      <c r="A379" s="3" t="s">
        <v>19</v>
      </c>
      <c r="B379">
        <v>-3.3281531700320612</v>
      </c>
    </row>
    <row r="380" spans="1:4">
      <c r="A380" t="s">
        <v>20</v>
      </c>
      <c r="B380">
        <v>244.70483855561329</v>
      </c>
    </row>
    <row r="381" spans="1:4">
      <c r="A381" t="s">
        <v>23</v>
      </c>
      <c r="B381">
        <v>15.643044414550937</v>
      </c>
    </row>
    <row r="382" spans="1:4">
      <c r="A382" s="1" t="s">
        <v>24</v>
      </c>
      <c r="B382">
        <v>4.9467649889156178</v>
      </c>
    </row>
    <row r="383" spans="1:4">
      <c r="A383" t="s">
        <v>21</v>
      </c>
      <c r="B383">
        <v>-0.67279387185151618</v>
      </c>
    </row>
    <row r="384" spans="1:4">
      <c r="A384" s="3" t="s">
        <v>22</v>
      </c>
      <c r="B384">
        <f>TDIST(ABS(B383),9,1)</f>
        <v>0.25898913589498318</v>
      </c>
    </row>
    <row r="386" spans="1:7">
      <c r="A386" s="2" t="s">
        <v>133</v>
      </c>
    </row>
    <row r="387" spans="1:7">
      <c r="A387" s="4" t="s">
        <v>7</v>
      </c>
      <c r="B387" s="3" t="s">
        <v>8</v>
      </c>
      <c r="C387" s="3" t="s">
        <v>9</v>
      </c>
      <c r="D387" s="3" t="s">
        <v>10</v>
      </c>
      <c r="E387" s="3" t="s">
        <v>11</v>
      </c>
      <c r="F387" s="3" t="s">
        <v>12</v>
      </c>
      <c r="G387" s="3" t="s">
        <v>13</v>
      </c>
    </row>
    <row r="388" spans="1:7">
      <c r="A388" s="1" t="s">
        <v>1524</v>
      </c>
      <c r="B388">
        <v>357.0637282387417</v>
      </c>
      <c r="C388">
        <v>309.27835051546396</v>
      </c>
      <c r="D388">
        <v>319.75637609440429</v>
      </c>
    </row>
    <row r="389" spans="1:7">
      <c r="A389" t="s">
        <v>1525</v>
      </c>
      <c r="B389">
        <v>310.4123763122206</v>
      </c>
      <c r="C389">
        <v>301.7729158807997</v>
      </c>
      <c r="D389">
        <v>337.32583720361771</v>
      </c>
    </row>
    <row r="390" spans="1:7">
      <c r="A390" t="s">
        <v>1526</v>
      </c>
      <c r="B390">
        <v>306.61322645290579</v>
      </c>
      <c r="C390">
        <v>304.99428135722457</v>
      </c>
      <c r="D390">
        <v>334.30416613904015</v>
      </c>
    </row>
    <row r="391" spans="1:7">
      <c r="A391" t="s">
        <v>1527</v>
      </c>
      <c r="B391">
        <v>321.7803172693782</v>
      </c>
      <c r="C391">
        <v>307.65286501730549</v>
      </c>
      <c r="D391">
        <v>348.30893488137303</v>
      </c>
    </row>
    <row r="392" spans="1:7">
      <c r="A392" t="s">
        <v>1528</v>
      </c>
      <c r="B392">
        <v>312.45305693255222</v>
      </c>
      <c r="C392">
        <v>315.07761799205605</v>
      </c>
      <c r="D392">
        <v>317.38035264483625</v>
      </c>
    </row>
    <row r="393" spans="1:7">
      <c r="A393" s="1" t="s">
        <v>1529</v>
      </c>
      <c r="B393">
        <v>358.98338319213656</v>
      </c>
      <c r="C393">
        <v>328.48077640910782</v>
      </c>
      <c r="D393">
        <v>332.45183226293921</v>
      </c>
    </row>
    <row r="395" spans="1:7">
      <c r="A395" s="3" t="s">
        <v>18</v>
      </c>
      <c r="B395">
        <v>6</v>
      </c>
    </row>
    <row r="396" spans="1:7">
      <c r="A396" s="3" t="s">
        <v>191</v>
      </c>
      <c r="B396">
        <v>0</v>
      </c>
    </row>
    <row r="397" spans="1:7">
      <c r="A397" s="3" t="s">
        <v>192</v>
      </c>
      <c r="B397">
        <v>6</v>
      </c>
    </row>
    <row r="398" spans="1:7">
      <c r="A398" s="6" t="s">
        <v>193</v>
      </c>
      <c r="B398">
        <v>0</v>
      </c>
    </row>
    <row r="400" spans="1:7">
      <c r="A400" s="3" t="s">
        <v>19</v>
      </c>
      <c r="B400">
        <v>-20.378448675708846</v>
      </c>
    </row>
    <row r="401" spans="1:7">
      <c r="A401" t="s">
        <v>20</v>
      </c>
      <c r="B401">
        <v>283.03388924780552</v>
      </c>
    </row>
    <row r="402" spans="1:7">
      <c r="A402" t="s">
        <v>23</v>
      </c>
      <c r="B402">
        <v>16.823611064447654</v>
      </c>
    </row>
    <row r="403" spans="1:7">
      <c r="A403" s="1" t="s">
        <v>24</v>
      </c>
      <c r="B403">
        <v>6.8682104564896855</v>
      </c>
    </row>
    <row r="404" spans="1:7">
      <c r="A404" t="s">
        <v>21</v>
      </c>
      <c r="B404">
        <v>-2.9670681766097466</v>
      </c>
    </row>
    <row r="405" spans="1:7">
      <c r="A405" s="3" t="s">
        <v>22</v>
      </c>
      <c r="B405">
        <f>TDIST(ABS(B404),5,1)</f>
        <v>1.5631341080759479E-2</v>
      </c>
    </row>
    <row r="407" spans="1:7">
      <c r="A407" s="2" t="s">
        <v>134</v>
      </c>
    </row>
    <row r="408" spans="1:7">
      <c r="A408" s="4" t="s">
        <v>7</v>
      </c>
      <c r="B408" s="3" t="s">
        <v>8</v>
      </c>
      <c r="C408" s="3" t="s">
        <v>9</v>
      </c>
      <c r="D408" s="3" t="s">
        <v>10</v>
      </c>
      <c r="E408" s="3" t="s">
        <v>11</v>
      </c>
      <c r="F408" s="3" t="s">
        <v>12</v>
      </c>
      <c r="G408" s="3" t="s">
        <v>13</v>
      </c>
    </row>
    <row r="409" spans="1:7">
      <c r="A409" t="s">
        <v>1544</v>
      </c>
      <c r="B409" t="e">
        <f>NA()</f>
        <v>#N/A</v>
      </c>
      <c r="C409">
        <v>343.88238225766258</v>
      </c>
      <c r="D409">
        <v>351.04826913700629</v>
      </c>
      <c r="E409" t="s">
        <v>40</v>
      </c>
    </row>
    <row r="410" spans="1:7">
      <c r="A410" t="s">
        <v>1545</v>
      </c>
      <c r="B410">
        <v>369.13842691009131</v>
      </c>
      <c r="C410">
        <v>359.79663668361366</v>
      </c>
      <c r="D410">
        <v>378.61256533952371</v>
      </c>
    </row>
    <row r="411" spans="1:7">
      <c r="A411" t="s">
        <v>1546</v>
      </c>
      <c r="B411">
        <v>370.12297378616563</v>
      </c>
      <c r="C411">
        <v>376.74243375612201</v>
      </c>
      <c r="D411">
        <v>376.93177534866192</v>
      </c>
    </row>
    <row r="412" spans="1:7">
      <c r="A412" t="s">
        <v>1547</v>
      </c>
      <c r="B412">
        <v>382.07840800461702</v>
      </c>
      <c r="C412">
        <v>456.58350008690849</v>
      </c>
      <c r="D412">
        <v>444.72151898734177</v>
      </c>
    </row>
    <row r="413" spans="1:7">
      <c r="A413" s="1" t="s">
        <v>1548</v>
      </c>
      <c r="B413">
        <v>393.63970017345838</v>
      </c>
      <c r="C413">
        <v>417.70263550472401</v>
      </c>
      <c r="D413">
        <v>425.31645569620258</v>
      </c>
    </row>
    <row r="414" spans="1:7">
      <c r="A414" t="s">
        <v>1549</v>
      </c>
      <c r="B414">
        <v>412.00942308656204</v>
      </c>
      <c r="C414">
        <v>437.68079486856999</v>
      </c>
      <c r="D414">
        <v>442.46662428480613</v>
      </c>
    </row>
    <row r="416" spans="1:7">
      <c r="A416" s="3" t="s">
        <v>18</v>
      </c>
      <c r="B416">
        <v>6</v>
      </c>
    </row>
    <row r="417" spans="1:2">
      <c r="A417" s="3" t="s">
        <v>191</v>
      </c>
      <c r="B417">
        <v>1</v>
      </c>
    </row>
    <row r="418" spans="1:2">
      <c r="A418" s="4" t="s">
        <v>192</v>
      </c>
      <c r="B418">
        <v>5</v>
      </c>
    </row>
    <row r="419" spans="1:2">
      <c r="A419" s="6" t="s">
        <v>193</v>
      </c>
      <c r="B419">
        <v>16.666666666666668</v>
      </c>
    </row>
    <row r="421" spans="1:2">
      <c r="A421" s="3" t="s">
        <v>19</v>
      </c>
      <c r="B421">
        <v>-4.4514709393236078</v>
      </c>
    </row>
    <row r="422" spans="1:2">
      <c r="A422" t="s">
        <v>20</v>
      </c>
      <c r="B422">
        <v>101.62248235292263</v>
      </c>
    </row>
    <row r="423" spans="1:2">
      <c r="A423" s="1" t="s">
        <v>23</v>
      </c>
      <c r="B423">
        <v>10.080797704195964</v>
      </c>
    </row>
    <row r="424" spans="1:2">
      <c r="A424" s="1" t="s">
        <v>24</v>
      </c>
      <c r="B424">
        <v>4.1154684292500372</v>
      </c>
    </row>
    <row r="425" spans="1:2">
      <c r="A425" t="s">
        <v>21</v>
      </c>
      <c r="B425">
        <v>-1.081643806980874</v>
      </c>
    </row>
    <row r="426" spans="1:2">
      <c r="A426" s="3" t="s">
        <v>22</v>
      </c>
      <c r="B426">
        <f>TDIST(ABS(B425),5,1)</f>
        <v>0.1643980674874681</v>
      </c>
    </row>
    <row r="429" spans="1:2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C1:D1048576 B1:B15 B17:B22 B24:B38 B40:B45 B47:B61 B63:B68 B70:B84 B86:B91 B93:B107 B109:B114 B116:B130 B132:B137 B139:B161 B163:B168 B170:B184 B186:B191 B193:B215 B217:B222 B224:B238 B240:B245 B247:B263 B265:B270 B272:B288 B290:B295 B297:B313 B315:B320 B322:B332 B334:B339 B341:B351 B353:B358 B360:B376 B378:B383 B385:B397 B399:B404 B406:B418 B420:B425 B427:B1048576">
    <cfRule type="containsErrors" dxfId="330" priority="1">
      <formula>ISERROR(B1)</formula>
    </cfRule>
  </conditionalFormatting>
  <conditionalFormatting sqref="B16">
    <cfRule type="cellIs" dxfId="329" priority="2" stopIfTrue="1" operator="notBetween">
      <formula>15</formula>
      <formula>85</formula>
    </cfRule>
    <cfRule type="cellIs" dxfId="328" priority="3" stopIfTrue="1" operator="notBetween">
      <formula>25</formula>
      <formula>75</formula>
    </cfRule>
  </conditionalFormatting>
  <conditionalFormatting sqref="B23">
    <cfRule type="cellIs" dxfId="327" priority="4" stopIfTrue="1" operator="lessThanOrEqual">
      <formula>0.05</formula>
    </cfRule>
    <cfRule type="cellIs" dxfId="326" priority="5" stopIfTrue="1" operator="lessThanOrEqual">
      <formula>0.1</formula>
    </cfRule>
  </conditionalFormatting>
  <conditionalFormatting sqref="B39">
    <cfRule type="cellIs" dxfId="325" priority="6" stopIfTrue="1" operator="notBetween">
      <formula>15</formula>
      <formula>85</formula>
    </cfRule>
    <cfRule type="cellIs" dxfId="324" priority="7" stopIfTrue="1" operator="notBetween">
      <formula>25</formula>
      <formula>75</formula>
    </cfRule>
  </conditionalFormatting>
  <conditionalFormatting sqref="B46">
    <cfRule type="cellIs" dxfId="323" priority="8" stopIfTrue="1" operator="lessThanOrEqual">
      <formula>0.05</formula>
    </cfRule>
    <cfRule type="cellIs" dxfId="322" priority="9" stopIfTrue="1" operator="lessThanOrEqual">
      <formula>0.1</formula>
    </cfRule>
  </conditionalFormatting>
  <conditionalFormatting sqref="B62">
    <cfRule type="cellIs" dxfId="321" priority="10" stopIfTrue="1" operator="notBetween">
      <formula>15</formula>
      <formula>85</formula>
    </cfRule>
    <cfRule type="cellIs" dxfId="320" priority="11" stopIfTrue="1" operator="notBetween">
      <formula>25</formula>
      <formula>75</formula>
    </cfRule>
  </conditionalFormatting>
  <conditionalFormatting sqref="B69">
    <cfRule type="cellIs" dxfId="319" priority="12" stopIfTrue="1" operator="lessThanOrEqual">
      <formula>0.05</formula>
    </cfRule>
    <cfRule type="cellIs" dxfId="318" priority="13" stopIfTrue="1" operator="lessThanOrEqual">
      <formula>0.1</formula>
    </cfRule>
  </conditionalFormatting>
  <conditionalFormatting sqref="B85">
    <cfRule type="cellIs" dxfId="317" priority="14" stopIfTrue="1" operator="notBetween">
      <formula>15</formula>
      <formula>85</formula>
    </cfRule>
    <cfRule type="cellIs" dxfId="316" priority="15" stopIfTrue="1" operator="notBetween">
      <formula>25</formula>
      <formula>75</formula>
    </cfRule>
  </conditionalFormatting>
  <conditionalFormatting sqref="B92">
    <cfRule type="cellIs" dxfId="315" priority="16" stopIfTrue="1" operator="lessThanOrEqual">
      <formula>0.05</formula>
    </cfRule>
    <cfRule type="cellIs" dxfId="314" priority="17" stopIfTrue="1" operator="lessThanOrEqual">
      <formula>0.1</formula>
    </cfRule>
  </conditionalFormatting>
  <conditionalFormatting sqref="B108">
    <cfRule type="cellIs" dxfId="313" priority="18" stopIfTrue="1" operator="notBetween">
      <formula>15</formula>
      <formula>85</formula>
    </cfRule>
    <cfRule type="cellIs" dxfId="312" priority="19" stopIfTrue="1" operator="notBetween">
      <formula>25</formula>
      <formula>75</formula>
    </cfRule>
  </conditionalFormatting>
  <conditionalFormatting sqref="B115">
    <cfRule type="cellIs" dxfId="311" priority="20" stopIfTrue="1" operator="lessThanOrEqual">
      <formula>0.05</formula>
    </cfRule>
    <cfRule type="cellIs" dxfId="310" priority="21" stopIfTrue="1" operator="lessThanOrEqual">
      <formula>0.1</formula>
    </cfRule>
  </conditionalFormatting>
  <conditionalFormatting sqref="B131">
    <cfRule type="cellIs" dxfId="309" priority="22" stopIfTrue="1" operator="notBetween">
      <formula>15</formula>
      <formula>85</formula>
    </cfRule>
    <cfRule type="cellIs" dxfId="308" priority="23" stopIfTrue="1" operator="notBetween">
      <formula>25</formula>
      <formula>75</formula>
    </cfRule>
  </conditionalFormatting>
  <conditionalFormatting sqref="B138">
    <cfRule type="cellIs" dxfId="307" priority="24" stopIfTrue="1" operator="lessThanOrEqual">
      <formula>0.05</formula>
    </cfRule>
    <cfRule type="cellIs" dxfId="306" priority="25" stopIfTrue="1" operator="lessThanOrEqual">
      <formula>0.1</formula>
    </cfRule>
  </conditionalFormatting>
  <conditionalFormatting sqref="B162">
    <cfRule type="cellIs" dxfId="305" priority="26" stopIfTrue="1" operator="notBetween">
      <formula>15</formula>
      <formula>85</formula>
    </cfRule>
    <cfRule type="cellIs" dxfId="304" priority="27" stopIfTrue="1" operator="notBetween">
      <formula>25</formula>
      <formula>75</formula>
    </cfRule>
  </conditionalFormatting>
  <conditionalFormatting sqref="B169">
    <cfRule type="cellIs" dxfId="303" priority="28" stopIfTrue="1" operator="lessThanOrEqual">
      <formula>0.05</formula>
    </cfRule>
    <cfRule type="cellIs" dxfId="302" priority="29" stopIfTrue="1" operator="lessThanOrEqual">
      <formula>0.1</formula>
    </cfRule>
  </conditionalFormatting>
  <conditionalFormatting sqref="B185">
    <cfRule type="cellIs" dxfId="301" priority="30" stopIfTrue="1" operator="notBetween">
      <formula>15</formula>
      <formula>85</formula>
    </cfRule>
    <cfRule type="cellIs" dxfId="300" priority="31" stopIfTrue="1" operator="notBetween">
      <formula>25</formula>
      <formula>75</formula>
    </cfRule>
  </conditionalFormatting>
  <conditionalFormatting sqref="B192">
    <cfRule type="cellIs" dxfId="299" priority="32" stopIfTrue="1" operator="lessThanOrEqual">
      <formula>0.05</formula>
    </cfRule>
    <cfRule type="cellIs" dxfId="298" priority="33" stopIfTrue="1" operator="lessThanOrEqual">
      <formula>0.1</formula>
    </cfRule>
  </conditionalFormatting>
  <conditionalFormatting sqref="B216">
    <cfRule type="cellIs" dxfId="297" priority="34" stopIfTrue="1" operator="notBetween">
      <formula>15</formula>
      <formula>85</formula>
    </cfRule>
    <cfRule type="cellIs" dxfId="296" priority="35" stopIfTrue="1" operator="notBetween">
      <formula>25</formula>
      <formula>75</formula>
    </cfRule>
  </conditionalFormatting>
  <conditionalFormatting sqref="B223">
    <cfRule type="cellIs" dxfId="295" priority="36" stopIfTrue="1" operator="lessThanOrEqual">
      <formula>0.05</formula>
    </cfRule>
    <cfRule type="cellIs" dxfId="294" priority="37" stopIfTrue="1" operator="lessThanOrEqual">
      <formula>0.1</formula>
    </cfRule>
  </conditionalFormatting>
  <conditionalFormatting sqref="B239">
    <cfRule type="cellIs" dxfId="293" priority="38" stopIfTrue="1" operator="notBetween">
      <formula>15</formula>
      <formula>85</formula>
    </cfRule>
    <cfRule type="cellIs" dxfId="292" priority="39" stopIfTrue="1" operator="notBetween">
      <formula>25</formula>
      <formula>75</formula>
    </cfRule>
  </conditionalFormatting>
  <conditionalFormatting sqref="B246">
    <cfRule type="cellIs" dxfId="291" priority="40" stopIfTrue="1" operator="lessThanOrEqual">
      <formula>0.05</formula>
    </cfRule>
    <cfRule type="cellIs" dxfId="290" priority="41" stopIfTrue="1" operator="lessThanOrEqual">
      <formula>0.1</formula>
    </cfRule>
  </conditionalFormatting>
  <conditionalFormatting sqref="B264">
    <cfRule type="cellIs" dxfId="289" priority="42" stopIfTrue="1" operator="notBetween">
      <formula>15</formula>
      <formula>85</formula>
    </cfRule>
    <cfRule type="cellIs" dxfId="288" priority="43" stopIfTrue="1" operator="notBetween">
      <formula>25</formula>
      <formula>75</formula>
    </cfRule>
  </conditionalFormatting>
  <conditionalFormatting sqref="B271">
    <cfRule type="cellIs" dxfId="287" priority="44" stopIfTrue="1" operator="lessThanOrEqual">
      <formula>0.05</formula>
    </cfRule>
    <cfRule type="cellIs" dxfId="286" priority="45" stopIfTrue="1" operator="lessThanOrEqual">
      <formula>0.1</formula>
    </cfRule>
  </conditionalFormatting>
  <conditionalFormatting sqref="B289">
    <cfRule type="cellIs" dxfId="285" priority="46" stopIfTrue="1" operator="notBetween">
      <formula>15</formula>
      <formula>85</formula>
    </cfRule>
    <cfRule type="cellIs" dxfId="284" priority="47" stopIfTrue="1" operator="notBetween">
      <formula>25</formula>
      <formula>75</formula>
    </cfRule>
  </conditionalFormatting>
  <conditionalFormatting sqref="B296">
    <cfRule type="cellIs" dxfId="283" priority="48" stopIfTrue="1" operator="lessThanOrEqual">
      <formula>0.05</formula>
    </cfRule>
    <cfRule type="cellIs" dxfId="282" priority="49" stopIfTrue="1" operator="lessThanOrEqual">
      <formula>0.1</formula>
    </cfRule>
  </conditionalFormatting>
  <conditionalFormatting sqref="B314">
    <cfRule type="cellIs" dxfId="281" priority="50" stopIfTrue="1" operator="notBetween">
      <formula>15</formula>
      <formula>85</formula>
    </cfRule>
    <cfRule type="cellIs" dxfId="280" priority="51" stopIfTrue="1" operator="notBetween">
      <formula>25</formula>
      <formula>75</formula>
    </cfRule>
  </conditionalFormatting>
  <conditionalFormatting sqref="B321">
    <cfRule type="cellIs" dxfId="279" priority="52" stopIfTrue="1" operator="lessThanOrEqual">
      <formula>0.05</formula>
    </cfRule>
    <cfRule type="cellIs" dxfId="278" priority="53" stopIfTrue="1" operator="lessThanOrEqual">
      <formula>0.1</formula>
    </cfRule>
  </conditionalFormatting>
  <conditionalFormatting sqref="B333">
    <cfRule type="cellIs" dxfId="277" priority="54" stopIfTrue="1" operator="notBetween">
      <formula>15</formula>
      <formula>85</formula>
    </cfRule>
    <cfRule type="cellIs" dxfId="276" priority="55" stopIfTrue="1" operator="notBetween">
      <formula>25</formula>
      <formula>75</formula>
    </cfRule>
  </conditionalFormatting>
  <conditionalFormatting sqref="B340">
    <cfRule type="cellIs" dxfId="275" priority="56" stopIfTrue="1" operator="lessThanOrEqual">
      <formula>0.05</formula>
    </cfRule>
    <cfRule type="cellIs" dxfId="274" priority="57" stopIfTrue="1" operator="lessThanOrEqual">
      <formula>0.1</formula>
    </cfRule>
  </conditionalFormatting>
  <conditionalFormatting sqref="B352">
    <cfRule type="cellIs" dxfId="273" priority="58" stopIfTrue="1" operator="notBetween">
      <formula>15</formula>
      <formula>85</formula>
    </cfRule>
    <cfRule type="cellIs" dxfId="272" priority="59" stopIfTrue="1" operator="notBetween">
      <formula>25</formula>
      <formula>75</formula>
    </cfRule>
  </conditionalFormatting>
  <conditionalFormatting sqref="B359">
    <cfRule type="cellIs" dxfId="271" priority="60" stopIfTrue="1" operator="lessThanOrEqual">
      <formula>0.05</formula>
    </cfRule>
    <cfRule type="cellIs" dxfId="270" priority="61" stopIfTrue="1" operator="lessThanOrEqual">
      <formula>0.1</formula>
    </cfRule>
  </conditionalFormatting>
  <conditionalFormatting sqref="B377">
    <cfRule type="cellIs" dxfId="269" priority="62" stopIfTrue="1" operator="notBetween">
      <formula>15</formula>
      <formula>85</formula>
    </cfRule>
    <cfRule type="cellIs" dxfId="268" priority="63" stopIfTrue="1" operator="notBetween">
      <formula>25</formula>
      <formula>75</formula>
    </cfRule>
  </conditionalFormatting>
  <conditionalFormatting sqref="B384">
    <cfRule type="cellIs" dxfId="267" priority="64" stopIfTrue="1" operator="lessThanOrEqual">
      <formula>0.05</formula>
    </cfRule>
    <cfRule type="cellIs" dxfId="266" priority="65" stopIfTrue="1" operator="lessThanOrEqual">
      <formula>0.1</formula>
    </cfRule>
  </conditionalFormatting>
  <conditionalFormatting sqref="B398">
    <cfRule type="cellIs" dxfId="265" priority="66" stopIfTrue="1" operator="notBetween">
      <formula>15</formula>
      <formula>85</formula>
    </cfRule>
    <cfRule type="cellIs" dxfId="264" priority="67" stopIfTrue="1" operator="notBetween">
      <formula>25</formula>
      <formula>75</formula>
    </cfRule>
  </conditionalFormatting>
  <conditionalFormatting sqref="B405">
    <cfRule type="cellIs" dxfId="263" priority="68" stopIfTrue="1" operator="lessThanOrEqual">
      <formula>0.05</formula>
    </cfRule>
    <cfRule type="cellIs" dxfId="262" priority="69" stopIfTrue="1" operator="lessThanOrEqual">
      <formula>0.1</formula>
    </cfRule>
  </conditionalFormatting>
  <conditionalFormatting sqref="B419">
    <cfRule type="cellIs" dxfId="261" priority="70" stopIfTrue="1" operator="notBetween">
      <formula>15</formula>
      <formula>85</formula>
    </cfRule>
    <cfRule type="cellIs" dxfId="260" priority="71" stopIfTrue="1" operator="notBetween">
      <formula>25</formula>
      <formula>75</formula>
    </cfRule>
  </conditionalFormatting>
  <conditionalFormatting sqref="B426">
    <cfRule type="cellIs" dxfId="259" priority="72" stopIfTrue="1" operator="lessThanOrEqual">
      <formula>0.05</formula>
    </cfRule>
    <cfRule type="cellIs" dxfId="258" priority="73" stopIfTrue="1" operator="lessThanOrEqual">
      <formula>0.1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1"/>
  <dimension ref="A1:G1082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26</v>
      </c>
    </row>
    <row r="2" spans="1:7">
      <c r="A2" s="2" t="s">
        <v>1826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1181</v>
      </c>
      <c r="B4" t="e">
        <f>NA()</f>
        <v>#N/A</v>
      </c>
      <c r="C4">
        <v>384.12291933418692</v>
      </c>
      <c r="D4">
        <v>376.55328228944393</v>
      </c>
      <c r="E4" t="s">
        <v>14</v>
      </c>
    </row>
    <row r="5" spans="1:7">
      <c r="A5" s="1" t="s">
        <v>1183</v>
      </c>
      <c r="B5">
        <v>362.21218849003418</v>
      </c>
      <c r="C5">
        <v>349.05779688883268</v>
      </c>
      <c r="D5">
        <v>346.12490594431904</v>
      </c>
    </row>
    <row r="6" spans="1:7">
      <c r="A6" s="1" t="s">
        <v>1185</v>
      </c>
      <c r="B6" t="e">
        <f>NA()</f>
        <v>#N/A</v>
      </c>
      <c r="C6">
        <v>383.09283616396374</v>
      </c>
      <c r="D6">
        <v>351.14503816793894</v>
      </c>
      <c r="E6" t="s">
        <v>14</v>
      </c>
    </row>
    <row r="7" spans="1:7">
      <c r="A7" s="1" t="s">
        <v>1187</v>
      </c>
      <c r="B7">
        <v>334.79113255919168</v>
      </c>
      <c r="C7">
        <v>276.63934426229508</v>
      </c>
      <c r="D7">
        <v>266.07538802660753</v>
      </c>
    </row>
    <row r="8" spans="1:7">
      <c r="A8" s="1"/>
    </row>
    <row r="9" spans="1:7">
      <c r="A9" s="4" t="s">
        <v>18</v>
      </c>
      <c r="B9">
        <v>4</v>
      </c>
    </row>
    <row r="10" spans="1:7">
      <c r="A10" s="4" t="s">
        <v>191</v>
      </c>
      <c r="B10">
        <v>4</v>
      </c>
    </row>
    <row r="11" spans="1:7">
      <c r="A11" s="4" t="s">
        <v>192</v>
      </c>
      <c r="B11">
        <v>0</v>
      </c>
    </row>
    <row r="12" spans="1:7">
      <c r="A12" s="6" t="s">
        <v>193</v>
      </c>
      <c r="B12">
        <v>100</v>
      </c>
    </row>
    <row r="13" spans="1:7">
      <c r="A13" s="1"/>
    </row>
    <row r="14" spans="1:7">
      <c r="A14" s="4" t="s">
        <v>19</v>
      </c>
      <c r="B14">
        <v>13.253570555242248</v>
      </c>
    </row>
    <row r="15" spans="1:7">
      <c r="A15" s="1" t="s">
        <v>20</v>
      </c>
      <c r="B15">
        <v>165.17723085824889</v>
      </c>
    </row>
    <row r="16" spans="1:7">
      <c r="A16" s="1" t="s">
        <v>23</v>
      </c>
      <c r="B16">
        <v>12.852129428940906</v>
      </c>
    </row>
    <row r="17" spans="1:7">
      <c r="A17" s="1" t="s">
        <v>24</v>
      </c>
      <c r="B17">
        <v>6.4260647144704528</v>
      </c>
    </row>
    <row r="18" spans="1:7">
      <c r="A18" s="1" t="s">
        <v>21</v>
      </c>
      <c r="B18">
        <v>2.0624707568533136</v>
      </c>
    </row>
    <row r="19" spans="1:7">
      <c r="A19" s="4" t="s">
        <v>22</v>
      </c>
      <c r="B19">
        <f>TDIST(ABS(B18),3,1)</f>
        <v>6.5592413523549928E-2</v>
      </c>
    </row>
    <row r="21" spans="1:7">
      <c r="A21" s="2" t="s">
        <v>1827</v>
      </c>
    </row>
    <row r="22" spans="1:7">
      <c r="A22" s="3" t="s">
        <v>7</v>
      </c>
      <c r="B22" s="3" t="s">
        <v>8</v>
      </c>
      <c r="C22" s="3" t="s">
        <v>9</v>
      </c>
      <c r="D22" s="3" t="s">
        <v>10</v>
      </c>
      <c r="E22" s="3" t="s">
        <v>11</v>
      </c>
      <c r="F22" s="3" t="s">
        <v>12</v>
      </c>
      <c r="G22" s="3" t="s">
        <v>13</v>
      </c>
    </row>
    <row r="23" spans="1:7">
      <c r="A23" t="s">
        <v>1182</v>
      </c>
      <c r="B23">
        <v>416.01768577601365</v>
      </c>
      <c r="C23">
        <v>355.12094698919196</v>
      </c>
      <c r="D23">
        <v>383.15117278644232</v>
      </c>
    </row>
    <row r="24" spans="1:7">
      <c r="A24" s="1" t="s">
        <v>1184</v>
      </c>
      <c r="B24">
        <v>362.79139494790496</v>
      </c>
      <c r="C24">
        <v>335.96334945278693</v>
      </c>
      <c r="D24">
        <v>311.76929072486359</v>
      </c>
    </row>
    <row r="25" spans="1:7">
      <c r="A25" s="1" t="s">
        <v>1186</v>
      </c>
      <c r="B25">
        <v>329.02936337803482</v>
      </c>
      <c r="C25">
        <v>296.875</v>
      </c>
      <c r="D25">
        <v>285.82173749529898</v>
      </c>
    </row>
    <row r="26" spans="1:7">
      <c r="A26" s="1" t="s">
        <v>1188</v>
      </c>
      <c r="B26">
        <v>337.29859960849268</v>
      </c>
      <c r="C26">
        <v>286.75638284492516</v>
      </c>
      <c r="D26">
        <v>292.19530949634753</v>
      </c>
    </row>
    <row r="27" spans="1:7">
      <c r="A27" s="1"/>
    </row>
    <row r="28" spans="1:7">
      <c r="A28" s="4" t="s">
        <v>18</v>
      </c>
      <c r="B28">
        <v>4</v>
      </c>
    </row>
    <row r="29" spans="1:7">
      <c r="A29" s="4" t="s">
        <v>191</v>
      </c>
      <c r="B29">
        <v>2</v>
      </c>
    </row>
    <row r="30" spans="1:7">
      <c r="A30" s="4" t="s">
        <v>192</v>
      </c>
      <c r="B30">
        <v>2</v>
      </c>
    </row>
    <row r="31" spans="1:7">
      <c r="A31" s="6" t="s">
        <v>193</v>
      </c>
      <c r="B31">
        <v>50</v>
      </c>
    </row>
    <row r="32" spans="1:7">
      <c r="A32" s="1"/>
    </row>
    <row r="33" spans="1:7">
      <c r="A33" s="4" t="s">
        <v>19</v>
      </c>
      <c r="B33">
        <v>0.4445421959879069</v>
      </c>
    </row>
    <row r="34" spans="1:7">
      <c r="A34" s="1" t="s">
        <v>20</v>
      </c>
      <c r="B34">
        <v>507.33736667878992</v>
      </c>
    </row>
    <row r="35" spans="1:7">
      <c r="A35" s="1" t="s">
        <v>23</v>
      </c>
      <c r="B35">
        <v>22.524150742675957</v>
      </c>
    </row>
    <row r="36" spans="1:7">
      <c r="A36" s="1" t="s">
        <v>24</v>
      </c>
      <c r="B36">
        <v>11.262075371337978</v>
      </c>
    </row>
    <row r="37" spans="1:7">
      <c r="A37" s="1" t="s">
        <v>21</v>
      </c>
      <c r="B37">
        <v>3.9472493419753549E-2</v>
      </c>
    </row>
    <row r="38" spans="1:7">
      <c r="A38" s="4" t="s">
        <v>22</v>
      </c>
      <c r="B38">
        <f>TDIST(ABS(B37),3,1)</f>
        <v>0.48549680350787078</v>
      </c>
    </row>
    <row r="39" spans="1:7">
      <c r="A39" s="1"/>
    </row>
    <row r="40" spans="1:7">
      <c r="A40" s="2" t="s">
        <v>1828</v>
      </c>
    </row>
    <row r="41" spans="1:7">
      <c r="A41" s="3" t="s">
        <v>7</v>
      </c>
      <c r="B41" s="3" t="s">
        <v>8</v>
      </c>
      <c r="C41" s="3" t="s">
        <v>9</v>
      </c>
      <c r="D41" s="3" t="s">
        <v>10</v>
      </c>
      <c r="E41" s="3" t="s">
        <v>11</v>
      </c>
      <c r="F41" s="3" t="s">
        <v>12</v>
      </c>
      <c r="G41" s="3" t="s">
        <v>13</v>
      </c>
    </row>
    <row r="42" spans="1:7">
      <c r="A42" t="s">
        <v>1189</v>
      </c>
      <c r="B42">
        <v>364.11570124605169</v>
      </c>
      <c r="C42">
        <v>310.34482758620692</v>
      </c>
      <c r="D42">
        <v>294.51466437599703</v>
      </c>
    </row>
    <row r="43" spans="1:7">
      <c r="A43" t="s">
        <v>1191</v>
      </c>
      <c r="B43">
        <v>358.19113476941442</v>
      </c>
      <c r="C43">
        <v>308.93710923133506</v>
      </c>
      <c r="D43">
        <v>297.95158286778394</v>
      </c>
    </row>
    <row r="44" spans="1:7">
      <c r="A44" s="1" t="s">
        <v>1193</v>
      </c>
      <c r="B44">
        <v>353.99115022124448</v>
      </c>
      <c r="C44">
        <v>299.96250468691414</v>
      </c>
      <c r="D44">
        <v>284.36018957345971</v>
      </c>
    </row>
    <row r="45" spans="1:7">
      <c r="A45" s="1" t="s">
        <v>1195</v>
      </c>
      <c r="B45">
        <v>343.81384224425727</v>
      </c>
      <c r="C45">
        <v>301.7729158807997</v>
      </c>
      <c r="D45">
        <v>290.4828640591158</v>
      </c>
    </row>
    <row r="46" spans="1:7">
      <c r="A46" s="1"/>
    </row>
    <row r="47" spans="1:7">
      <c r="A47" s="4" t="s">
        <v>18</v>
      </c>
      <c r="B47">
        <v>4</v>
      </c>
    </row>
    <row r="48" spans="1:7">
      <c r="A48" s="4" t="s">
        <v>191</v>
      </c>
      <c r="B48">
        <v>4</v>
      </c>
    </row>
    <row r="49" spans="1:7">
      <c r="A49" s="4" t="s">
        <v>192</v>
      </c>
      <c r="B49">
        <v>0</v>
      </c>
    </row>
    <row r="50" spans="1:7">
      <c r="A50" s="6" t="s">
        <v>193</v>
      </c>
      <c r="B50">
        <v>100</v>
      </c>
    </row>
    <row r="51" spans="1:7">
      <c r="A51" s="1"/>
    </row>
    <row r="52" spans="1:7">
      <c r="A52" s="4" t="s">
        <v>19</v>
      </c>
      <c r="B52">
        <v>13.427014127224837</v>
      </c>
    </row>
    <row r="53" spans="1:7">
      <c r="A53" s="1" t="s">
        <v>20</v>
      </c>
      <c r="B53">
        <v>7.0115100970715671</v>
      </c>
    </row>
    <row r="54" spans="1:7">
      <c r="A54" s="1" t="s">
        <v>23</v>
      </c>
      <c r="B54">
        <v>2.6479256215142386</v>
      </c>
    </row>
    <row r="55" spans="1:7">
      <c r="A55" s="1" t="s">
        <v>24</v>
      </c>
      <c r="B55">
        <v>1.3239628107571193</v>
      </c>
    </row>
    <row r="56" spans="1:7">
      <c r="A56" s="1" t="s">
        <v>21</v>
      </c>
      <c r="B56">
        <v>10.141534201815295</v>
      </c>
    </row>
    <row r="57" spans="1:7">
      <c r="A57" s="4" t="s">
        <v>22</v>
      </c>
      <c r="B57">
        <f>TDIST(ABS(B56),3,1)</f>
        <v>1.0212537829894814E-3</v>
      </c>
    </row>
    <row r="58" spans="1:7">
      <c r="A58" s="1"/>
    </row>
    <row r="59" spans="1:7">
      <c r="A59" s="5" t="s">
        <v>1829</v>
      </c>
    </row>
    <row r="60" spans="1:7">
      <c r="A60" s="4" t="s">
        <v>7</v>
      </c>
      <c r="B60" s="3" t="s">
        <v>8</v>
      </c>
      <c r="C60" s="3" t="s">
        <v>9</v>
      </c>
      <c r="D60" s="3" t="s">
        <v>10</v>
      </c>
      <c r="E60" s="3" t="s">
        <v>11</v>
      </c>
      <c r="F60" s="3" t="s">
        <v>12</v>
      </c>
      <c r="G60" s="3" t="s">
        <v>13</v>
      </c>
    </row>
    <row r="61" spans="1:7">
      <c r="A61" s="1" t="s">
        <v>1190</v>
      </c>
      <c r="B61">
        <v>343.58047016274867</v>
      </c>
      <c r="C61">
        <v>308.86138007108713</v>
      </c>
      <c r="D61">
        <v>297.47149231531978</v>
      </c>
    </row>
    <row r="62" spans="1:7">
      <c r="A62" s="1" t="s">
        <v>1192</v>
      </c>
      <c r="B62">
        <v>343.01906490020133</v>
      </c>
      <c r="C62">
        <v>306.79327976625274</v>
      </c>
      <c r="D62">
        <v>293.64982258656551</v>
      </c>
    </row>
    <row r="63" spans="1:7">
      <c r="A63" s="1" t="s">
        <v>1194</v>
      </c>
      <c r="B63">
        <v>351.77967580016002</v>
      </c>
      <c r="C63">
        <v>299.47591714499623</v>
      </c>
      <c r="D63">
        <v>290.89053329931107</v>
      </c>
    </row>
    <row r="64" spans="1:7">
      <c r="A64" s="1" t="s">
        <v>1196</v>
      </c>
      <c r="B64">
        <v>332.76706305586089</v>
      </c>
      <c r="C64">
        <v>302.076777847703</v>
      </c>
      <c r="D64">
        <v>291.59739097071235</v>
      </c>
    </row>
    <row r="65" spans="1:7">
      <c r="A65" s="1"/>
    </row>
    <row r="66" spans="1:7">
      <c r="A66" s="3" t="s">
        <v>18</v>
      </c>
      <c r="B66">
        <v>4</v>
      </c>
    </row>
    <row r="67" spans="1:7">
      <c r="A67" s="3" t="s">
        <v>191</v>
      </c>
      <c r="B67">
        <v>4</v>
      </c>
    </row>
    <row r="68" spans="1:7">
      <c r="A68" s="3" t="s">
        <v>192</v>
      </c>
      <c r="B68">
        <v>0</v>
      </c>
    </row>
    <row r="69" spans="1:7">
      <c r="A69" s="6" t="s">
        <v>193</v>
      </c>
      <c r="B69">
        <v>100</v>
      </c>
    </row>
    <row r="70" spans="1:7">
      <c r="A70" s="1"/>
    </row>
    <row r="71" spans="1:7">
      <c r="A71" s="4" t="s">
        <v>19</v>
      </c>
      <c r="B71">
        <v>10.899528914532596</v>
      </c>
    </row>
    <row r="72" spans="1:7">
      <c r="A72" s="1" t="s">
        <v>20</v>
      </c>
      <c r="B72">
        <v>3.6024841945725998</v>
      </c>
    </row>
    <row r="73" spans="1:7">
      <c r="A73" s="1" t="s">
        <v>23</v>
      </c>
      <c r="B73">
        <v>1.8980211259552935</v>
      </c>
    </row>
    <row r="74" spans="1:7">
      <c r="A74" s="1" t="s">
        <v>24</v>
      </c>
      <c r="B74">
        <v>0.94901056297764674</v>
      </c>
    </row>
    <row r="75" spans="1:7">
      <c r="A75" s="1" t="s">
        <v>21</v>
      </c>
      <c r="B75">
        <v>11.485150260429004</v>
      </c>
    </row>
    <row r="76" spans="1:7">
      <c r="A76" s="4" t="s">
        <v>22</v>
      </c>
      <c r="B76">
        <f>TDIST(ABS(B75),3,1)</f>
        <v>7.0844044858006053E-4</v>
      </c>
    </row>
    <row r="77" spans="1:7">
      <c r="A77" s="1"/>
    </row>
    <row r="78" spans="1:7">
      <c r="A78" s="5" t="s">
        <v>1830</v>
      </c>
    </row>
    <row r="79" spans="1:7">
      <c r="A79" s="4" t="s">
        <v>7</v>
      </c>
      <c r="B79" s="3" t="s">
        <v>8</v>
      </c>
      <c r="C79" s="3" t="s">
        <v>9</v>
      </c>
      <c r="D79" s="3" t="s">
        <v>10</v>
      </c>
      <c r="E79" s="3" t="s">
        <v>11</v>
      </c>
      <c r="F79" s="3" t="s">
        <v>12</v>
      </c>
      <c r="G79" s="3" t="s">
        <v>13</v>
      </c>
    </row>
    <row r="80" spans="1:7">
      <c r="A80" s="1" t="s">
        <v>1197</v>
      </c>
      <c r="B80">
        <v>341.88034188034186</v>
      </c>
      <c r="C80">
        <v>312.61630070710828</v>
      </c>
      <c r="D80">
        <v>297.32408325074329</v>
      </c>
    </row>
    <row r="81" spans="1:4">
      <c r="A81" s="1" t="s">
        <v>1198</v>
      </c>
      <c r="B81">
        <v>346.63786390696038</v>
      </c>
      <c r="C81">
        <v>315.2758663830852</v>
      </c>
      <c r="D81">
        <v>302.55732981150197</v>
      </c>
    </row>
    <row r="82" spans="1:4">
      <c r="A82" s="1" t="s">
        <v>1201</v>
      </c>
      <c r="B82">
        <v>299.84258264411181</v>
      </c>
      <c r="C82">
        <v>311.45717463848723</v>
      </c>
      <c r="D82">
        <v>302.88461538461542</v>
      </c>
    </row>
    <row r="83" spans="1:4">
      <c r="A83" s="1" t="s">
        <v>1204</v>
      </c>
      <c r="B83">
        <v>329.37418904082239</v>
      </c>
      <c r="C83">
        <v>292.14850882531954</v>
      </c>
      <c r="D83">
        <v>289.2299885830268</v>
      </c>
    </row>
    <row r="84" spans="1:4">
      <c r="A84" s="1"/>
    </row>
    <row r="85" spans="1:4">
      <c r="A85" s="4" t="s">
        <v>18</v>
      </c>
      <c r="B85">
        <v>4</v>
      </c>
    </row>
    <row r="86" spans="1:4">
      <c r="A86" s="4" t="s">
        <v>191</v>
      </c>
      <c r="B86">
        <v>4</v>
      </c>
    </row>
    <row r="87" spans="1:4">
      <c r="A87" s="4" t="s">
        <v>192</v>
      </c>
      <c r="B87">
        <v>0</v>
      </c>
    </row>
    <row r="88" spans="1:4">
      <c r="A88" s="6" t="s">
        <v>193</v>
      </c>
      <c r="B88">
        <v>100</v>
      </c>
    </row>
    <row r="89" spans="1:4">
      <c r="A89" s="1"/>
    </row>
    <row r="90" spans="1:4">
      <c r="A90" s="3" t="s">
        <v>19</v>
      </c>
      <c r="B90">
        <v>9.8754583810281957</v>
      </c>
    </row>
    <row r="91" spans="1:4">
      <c r="A91" t="s">
        <v>20</v>
      </c>
      <c r="B91">
        <v>29.17363562653</v>
      </c>
    </row>
    <row r="92" spans="1:4">
      <c r="A92" t="s">
        <v>23</v>
      </c>
      <c r="B92">
        <v>5.4012624104490605</v>
      </c>
    </row>
    <row r="93" spans="1:4">
      <c r="A93" t="s">
        <v>24</v>
      </c>
      <c r="B93">
        <v>2.7006312052245303</v>
      </c>
    </row>
    <row r="94" spans="1:4">
      <c r="A94" s="1" t="s">
        <v>21</v>
      </c>
      <c r="B94">
        <v>3.6567223106670541</v>
      </c>
    </row>
    <row r="95" spans="1:4">
      <c r="A95" s="3" t="s">
        <v>22</v>
      </c>
      <c r="B95">
        <f>TDIST(ABS(B94),3,1)</f>
        <v>1.7662945404784854E-2</v>
      </c>
    </row>
    <row r="97" spans="1:7">
      <c r="A97" s="2" t="s">
        <v>1831</v>
      </c>
    </row>
    <row r="98" spans="1:7">
      <c r="A98" s="3" t="s">
        <v>7</v>
      </c>
      <c r="B98" s="3" t="s">
        <v>8</v>
      </c>
      <c r="C98" s="3" t="s">
        <v>9</v>
      </c>
      <c r="D98" s="3" t="s">
        <v>10</v>
      </c>
      <c r="E98" s="3" t="s">
        <v>11</v>
      </c>
      <c r="F98" s="3" t="s">
        <v>12</v>
      </c>
      <c r="G98" s="3" t="s">
        <v>13</v>
      </c>
    </row>
    <row r="99" spans="1:7">
      <c r="A99" s="1" t="s">
        <v>1199</v>
      </c>
      <c r="B99">
        <v>343.35191082802544</v>
      </c>
      <c r="C99" t="e">
        <f>NA()</f>
        <v>#N/A</v>
      </c>
      <c r="D99" t="e">
        <f>NA()</f>
        <v>#N/A</v>
      </c>
      <c r="F99" t="s">
        <v>17</v>
      </c>
      <c r="G99" t="s">
        <v>17</v>
      </c>
    </row>
    <row r="100" spans="1:7">
      <c r="A100" s="1" t="s">
        <v>1200</v>
      </c>
      <c r="B100">
        <v>330.56195532405087</v>
      </c>
      <c r="C100">
        <v>300.18761726078799</v>
      </c>
      <c r="D100">
        <v>293.0967990744312</v>
      </c>
    </row>
    <row r="101" spans="1:7">
      <c r="A101" s="1" t="s">
        <v>1202</v>
      </c>
      <c r="B101">
        <v>344.6295232624928</v>
      </c>
      <c r="C101">
        <v>300.45067601402104</v>
      </c>
      <c r="D101">
        <v>291.19145838388744</v>
      </c>
    </row>
    <row r="102" spans="1:7">
      <c r="A102" s="1" t="s">
        <v>1203</v>
      </c>
      <c r="B102">
        <v>346.33757961783436</v>
      </c>
      <c r="C102">
        <v>304.45813700616168</v>
      </c>
      <c r="D102">
        <v>298.09961495466405</v>
      </c>
    </row>
    <row r="103" spans="1:7">
      <c r="A103" s="1"/>
    </row>
    <row r="104" spans="1:7">
      <c r="A104" s="4" t="s">
        <v>18</v>
      </c>
      <c r="B104">
        <v>3</v>
      </c>
    </row>
    <row r="105" spans="1:7">
      <c r="A105" s="4" t="s">
        <v>191</v>
      </c>
      <c r="B105">
        <v>3</v>
      </c>
    </row>
    <row r="106" spans="1:7">
      <c r="A106" s="4" t="s">
        <v>192</v>
      </c>
      <c r="B106">
        <v>0</v>
      </c>
    </row>
    <row r="107" spans="1:7">
      <c r="A107" s="6" t="s">
        <v>193</v>
      </c>
      <c r="B107">
        <v>100</v>
      </c>
    </row>
    <row r="108" spans="1:7">
      <c r="A108" s="1"/>
    </row>
    <row r="109" spans="1:7">
      <c r="A109" s="4" t="s">
        <v>19</v>
      </c>
      <c r="B109">
        <v>7.5695192893293397</v>
      </c>
    </row>
    <row r="110" spans="1:7">
      <c r="A110" s="1" t="s">
        <v>20</v>
      </c>
      <c r="B110">
        <v>2.2753747694699298</v>
      </c>
    </row>
    <row r="111" spans="1:7">
      <c r="A111" s="1" t="s">
        <v>23</v>
      </c>
      <c r="B111">
        <v>1.5084345426533861</v>
      </c>
    </row>
    <row r="112" spans="1:7">
      <c r="A112" s="1" t="s">
        <v>24</v>
      </c>
      <c r="B112">
        <v>0.87089508925586245</v>
      </c>
    </row>
    <row r="113" spans="1:7">
      <c r="A113" s="1" t="s">
        <v>21</v>
      </c>
      <c r="B113">
        <v>8.6916545778173191</v>
      </c>
    </row>
    <row r="114" spans="1:7">
      <c r="A114" s="4" t="s">
        <v>22</v>
      </c>
      <c r="B114">
        <f>TDIST(ABS(B113),2,1)</f>
        <v>6.4900007881911739E-3</v>
      </c>
    </row>
    <row r="115" spans="1:7">
      <c r="A115" s="1"/>
    </row>
    <row r="116" spans="1:7">
      <c r="A116" s="5" t="s">
        <v>1832</v>
      </c>
    </row>
    <row r="117" spans="1:7">
      <c r="A117" s="4" t="s">
        <v>7</v>
      </c>
      <c r="B117" s="3" t="s">
        <v>8</v>
      </c>
      <c r="C117" s="3" t="s">
        <v>9</v>
      </c>
      <c r="D117" s="3" t="s">
        <v>10</v>
      </c>
      <c r="E117" s="3" t="s">
        <v>11</v>
      </c>
      <c r="F117" s="3" t="s">
        <v>12</v>
      </c>
      <c r="G117" s="3" t="s">
        <v>13</v>
      </c>
    </row>
    <row r="118" spans="1:7">
      <c r="A118" s="1" t="s">
        <v>1205</v>
      </c>
      <c r="B118">
        <v>319.94418419216584</v>
      </c>
      <c r="C118">
        <v>308.5229463941381</v>
      </c>
      <c r="D118">
        <v>306.30849641424578</v>
      </c>
    </row>
    <row r="119" spans="1:7">
      <c r="A119" s="1" t="s">
        <v>1207</v>
      </c>
      <c r="B119">
        <v>347.25340517886542</v>
      </c>
      <c r="C119">
        <v>305.04781503449948</v>
      </c>
      <c r="D119">
        <v>320.03879258091888</v>
      </c>
    </row>
    <row r="120" spans="1:7">
      <c r="A120" t="s">
        <v>1209</v>
      </c>
      <c r="B120">
        <v>335.27914982787007</v>
      </c>
      <c r="C120">
        <v>312.66284523189159</v>
      </c>
      <c r="D120">
        <v>325.20325203252037</v>
      </c>
    </row>
    <row r="121" spans="1:7">
      <c r="A121" t="s">
        <v>1212</v>
      </c>
      <c r="B121">
        <v>345.12581838459164</v>
      </c>
      <c r="C121">
        <v>319.71580817051512</v>
      </c>
      <c r="D121">
        <v>333.92360232734632</v>
      </c>
    </row>
    <row r="122" spans="1:7">
      <c r="A122" t="s">
        <v>1213</v>
      </c>
      <c r="B122">
        <v>348.06091065936539</v>
      </c>
      <c r="C122">
        <v>305.81039755351679</v>
      </c>
      <c r="D122">
        <v>293.58743239763066</v>
      </c>
    </row>
    <row r="123" spans="1:7">
      <c r="A123" t="s">
        <v>1215</v>
      </c>
      <c r="B123">
        <v>347.38339447480718</v>
      </c>
      <c r="C123">
        <v>300.94043887147336</v>
      </c>
      <c r="D123">
        <v>284.46662507797879</v>
      </c>
    </row>
    <row r="124" spans="1:7">
      <c r="A124" s="1" t="s">
        <v>1217</v>
      </c>
      <c r="B124">
        <v>355.30574862620131</v>
      </c>
      <c r="C124">
        <v>321.9904866447128</v>
      </c>
      <c r="D124">
        <v>323.99074312162514</v>
      </c>
    </row>
    <row r="125" spans="1:7">
      <c r="A125" s="1" t="s">
        <v>1220</v>
      </c>
      <c r="B125">
        <v>349.76707107446248</v>
      </c>
      <c r="C125">
        <v>309.27835051546396</v>
      </c>
      <c r="D125">
        <v>309.35428431131839</v>
      </c>
    </row>
    <row r="126" spans="1:7">
      <c r="A126" s="1"/>
    </row>
    <row r="127" spans="1:7">
      <c r="A127" s="4" t="s">
        <v>18</v>
      </c>
      <c r="B127">
        <v>8</v>
      </c>
    </row>
    <row r="128" spans="1:7">
      <c r="A128" s="4" t="s">
        <v>191</v>
      </c>
      <c r="B128">
        <v>3</v>
      </c>
    </row>
    <row r="129" spans="1:7">
      <c r="A129" s="4" t="s">
        <v>192</v>
      </c>
      <c r="B129">
        <v>5</v>
      </c>
    </row>
    <row r="130" spans="1:7">
      <c r="A130" s="6" t="s">
        <v>193</v>
      </c>
      <c r="B130">
        <v>37.5</v>
      </c>
    </row>
    <row r="131" spans="1:7">
      <c r="A131" s="1"/>
    </row>
    <row r="132" spans="1:7">
      <c r="A132" s="4" t="s">
        <v>19</v>
      </c>
      <c r="B132">
        <v>-1.6130174809216411</v>
      </c>
    </row>
    <row r="133" spans="1:7">
      <c r="A133" s="1" t="s">
        <v>20</v>
      </c>
      <c r="B133">
        <v>141.81943155832707</v>
      </c>
    </row>
    <row r="134" spans="1:7">
      <c r="A134" s="1" t="s">
        <v>23</v>
      </c>
      <c r="B134">
        <v>11.908796394192281</v>
      </c>
    </row>
    <row r="135" spans="1:7">
      <c r="A135" s="1" t="s">
        <v>24</v>
      </c>
      <c r="B135">
        <v>4.2103953430516334</v>
      </c>
    </row>
    <row r="136" spans="1:7">
      <c r="A136" s="1" t="s">
        <v>21</v>
      </c>
      <c r="B136">
        <v>-0.38310356854816141</v>
      </c>
    </row>
    <row r="137" spans="1:7">
      <c r="A137" s="4" t="s">
        <v>22</v>
      </c>
      <c r="B137">
        <f>TDIST(ABS(B136),7,1)</f>
        <v>0.35650575646195293</v>
      </c>
    </row>
    <row r="138" spans="1:7">
      <c r="A138" s="1"/>
    </row>
    <row r="139" spans="1:7">
      <c r="A139" s="5" t="s">
        <v>1833</v>
      </c>
    </row>
    <row r="140" spans="1:7">
      <c r="A140" s="4" t="s">
        <v>7</v>
      </c>
      <c r="B140" s="3" t="s">
        <v>8</v>
      </c>
      <c r="C140" s="3" t="s">
        <v>9</v>
      </c>
      <c r="D140" s="3" t="s">
        <v>10</v>
      </c>
      <c r="E140" s="3" t="s">
        <v>11</v>
      </c>
      <c r="F140" s="3" t="s">
        <v>12</v>
      </c>
      <c r="G140" s="3" t="s">
        <v>13</v>
      </c>
    </row>
    <row r="141" spans="1:7">
      <c r="A141" s="1" t="s">
        <v>1206</v>
      </c>
      <c r="B141">
        <v>351.85130351516062</v>
      </c>
      <c r="C141">
        <v>297.95158286778394</v>
      </c>
      <c r="D141">
        <v>306.70926517571888</v>
      </c>
    </row>
    <row r="142" spans="1:7">
      <c r="A142" s="1" t="s">
        <v>1208</v>
      </c>
      <c r="B142">
        <v>341.97435192360575</v>
      </c>
      <c r="C142">
        <v>315.67080045095827</v>
      </c>
      <c r="D142">
        <v>303.60531309297909</v>
      </c>
    </row>
    <row r="143" spans="1:7">
      <c r="A143" s="1" t="s">
        <v>1210</v>
      </c>
      <c r="B143">
        <v>331.57498116051244</v>
      </c>
      <c r="C143">
        <v>316.98113207547169</v>
      </c>
      <c r="D143">
        <v>319.22611850060457</v>
      </c>
    </row>
    <row r="144" spans="1:7">
      <c r="A144" t="s">
        <v>1211</v>
      </c>
      <c r="B144">
        <v>345.07764246955566</v>
      </c>
      <c r="C144">
        <v>318.70494498545594</v>
      </c>
      <c r="D144">
        <v>323.15978456014363</v>
      </c>
    </row>
    <row r="145" spans="1:4">
      <c r="A145" t="s">
        <v>1214</v>
      </c>
      <c r="B145">
        <v>332.27609122489048</v>
      </c>
      <c r="C145">
        <v>287.33459357277883</v>
      </c>
      <c r="D145">
        <v>290.18709431080561</v>
      </c>
    </row>
    <row r="146" spans="1:4">
      <c r="A146" t="s">
        <v>1216</v>
      </c>
      <c r="B146">
        <v>337.4086812441945</v>
      </c>
      <c r="C146">
        <v>309.12659470068695</v>
      </c>
      <c r="D146">
        <v>301.09145652992095</v>
      </c>
    </row>
    <row r="147" spans="1:4">
      <c r="A147" t="s">
        <v>1218</v>
      </c>
      <c r="B147">
        <v>342.87432954032784</v>
      </c>
      <c r="C147">
        <v>310.45952938277685</v>
      </c>
      <c r="D147">
        <v>309.63746613340214</v>
      </c>
    </row>
    <row r="148" spans="1:4">
      <c r="A148" s="1" t="s">
        <v>1219</v>
      </c>
      <c r="B148">
        <v>360.34232520894847</v>
      </c>
      <c r="C148">
        <v>318.10435983830598</v>
      </c>
      <c r="D148">
        <v>315.9478435305918</v>
      </c>
    </row>
    <row r="149" spans="1:4">
      <c r="A149" s="1"/>
    </row>
    <row r="150" spans="1:4">
      <c r="A150" s="4" t="s">
        <v>18</v>
      </c>
      <c r="B150">
        <v>8</v>
      </c>
    </row>
    <row r="151" spans="1:4">
      <c r="A151" s="4" t="s">
        <v>191</v>
      </c>
      <c r="B151">
        <v>4</v>
      </c>
    </row>
    <row r="152" spans="1:4">
      <c r="A152" s="4" t="s">
        <v>192</v>
      </c>
      <c r="B152">
        <v>4</v>
      </c>
    </row>
    <row r="153" spans="1:4">
      <c r="A153" s="6" t="s">
        <v>193</v>
      </c>
      <c r="B153">
        <v>50</v>
      </c>
    </row>
    <row r="154" spans="1:4">
      <c r="A154" s="1"/>
    </row>
    <row r="155" spans="1:4">
      <c r="A155" s="4" t="s">
        <v>19</v>
      </c>
      <c r="B155">
        <v>0.59614950500647268</v>
      </c>
    </row>
    <row r="156" spans="1:4">
      <c r="A156" t="s">
        <v>20</v>
      </c>
      <c r="B156">
        <v>46.048849553443553</v>
      </c>
    </row>
    <row r="157" spans="1:4">
      <c r="A157" t="s">
        <v>23</v>
      </c>
      <c r="B157">
        <v>6.7859302644105881</v>
      </c>
    </row>
    <row r="158" spans="1:4">
      <c r="A158" t="s">
        <v>24</v>
      </c>
      <c r="B158">
        <v>2.399188653311874</v>
      </c>
    </row>
    <row r="159" spans="1:4">
      <c r="A159" t="s">
        <v>21</v>
      </c>
      <c r="B159">
        <v>0.2484796283875132</v>
      </c>
    </row>
    <row r="160" spans="1:4">
      <c r="A160" s="4" t="s">
        <v>22</v>
      </c>
      <c r="B160">
        <f>TDIST(ABS(B159),7,1)</f>
        <v>0.40544779815594073</v>
      </c>
    </row>
    <row r="161" spans="1:7">
      <c r="A161" s="1"/>
    </row>
    <row r="162" spans="1:7">
      <c r="A162" s="5" t="s">
        <v>1779</v>
      </c>
    </row>
    <row r="163" spans="1:7">
      <c r="A163" s="4" t="s">
        <v>7</v>
      </c>
      <c r="B163" s="3" t="s">
        <v>8</v>
      </c>
      <c r="C163" s="3" t="s">
        <v>9</v>
      </c>
      <c r="D163" s="3" t="s">
        <v>10</v>
      </c>
      <c r="E163" s="3" t="s">
        <v>11</v>
      </c>
      <c r="F163" s="3" t="s">
        <v>12</v>
      </c>
      <c r="G163" s="3" t="s">
        <v>13</v>
      </c>
    </row>
    <row r="164" spans="1:7">
      <c r="A164" s="1" t="s">
        <v>1221</v>
      </c>
      <c r="B164">
        <v>357.38418800210223</v>
      </c>
      <c r="C164">
        <v>295.53010712966386</v>
      </c>
      <c r="D164">
        <v>294.72595656670109</v>
      </c>
    </row>
    <row r="165" spans="1:7">
      <c r="A165" s="1" t="s">
        <v>1223</v>
      </c>
      <c r="B165">
        <v>327.70456481435087</v>
      </c>
      <c r="C165">
        <v>300.26272988865253</v>
      </c>
      <c r="D165">
        <v>296.2962962962963</v>
      </c>
    </row>
    <row r="166" spans="1:7">
      <c r="A166" s="1" t="s">
        <v>1225</v>
      </c>
      <c r="B166">
        <v>338.25787129086655</v>
      </c>
      <c r="C166">
        <v>295.22206396478049</v>
      </c>
      <c r="D166">
        <v>298.39612085042893</v>
      </c>
    </row>
    <row r="167" spans="1:7">
      <c r="A167" t="s">
        <v>1227</v>
      </c>
      <c r="B167">
        <v>325.48911269055935</v>
      </c>
      <c r="C167">
        <v>294.3454686289698</v>
      </c>
      <c r="D167">
        <v>292.75808936825888</v>
      </c>
    </row>
    <row r="168" spans="1:7">
      <c r="A168" t="s">
        <v>1229</v>
      </c>
      <c r="B168" t="e">
        <f>NA()</f>
        <v>#N/A</v>
      </c>
      <c r="C168">
        <v>363.17780580075663</v>
      </c>
      <c r="D168">
        <v>325.52404438964243</v>
      </c>
      <c r="E168" t="s">
        <v>14</v>
      </c>
    </row>
    <row r="169" spans="1:7">
      <c r="A169" t="s">
        <v>1231</v>
      </c>
      <c r="B169">
        <v>293.08411214953276</v>
      </c>
      <c r="C169">
        <v>282.28302587594402</v>
      </c>
      <c r="D169">
        <v>270.74454750564047</v>
      </c>
    </row>
    <row r="170" spans="1:7">
      <c r="A170" t="s">
        <v>1233</v>
      </c>
      <c r="B170">
        <v>343.07210031347967</v>
      </c>
      <c r="C170">
        <v>340.6986791754104</v>
      </c>
      <c r="D170">
        <v>302.72452068617559</v>
      </c>
    </row>
    <row r="171" spans="1:7">
      <c r="A171" s="1" t="s">
        <v>1236</v>
      </c>
      <c r="B171">
        <v>317.30193574136899</v>
      </c>
      <c r="C171">
        <v>296.64324746291959</v>
      </c>
      <c r="D171">
        <v>297.76674937965259</v>
      </c>
    </row>
    <row r="172" spans="1:7">
      <c r="A172" s="1" t="s">
        <v>1237</v>
      </c>
      <c r="B172">
        <v>344.95688038995127</v>
      </c>
      <c r="C172">
        <v>302.53371990419765</v>
      </c>
      <c r="D172">
        <v>278.79677182685253</v>
      </c>
    </row>
    <row r="173" spans="1:7">
      <c r="A173" s="1" t="s">
        <v>1238</v>
      </c>
      <c r="B173">
        <v>330.8666558326463</v>
      </c>
      <c r="C173">
        <v>293.57798165137615</v>
      </c>
      <c r="D173">
        <v>285.60691469372415</v>
      </c>
    </row>
    <row r="174" spans="1:7">
      <c r="A174" s="1" t="s">
        <v>1241</v>
      </c>
      <c r="B174">
        <v>286.30365086860354</v>
      </c>
      <c r="C174">
        <v>300.30030030030025</v>
      </c>
      <c r="D174">
        <v>286.08892597449039</v>
      </c>
    </row>
    <row r="175" spans="1:7">
      <c r="A175" s="1" t="s">
        <v>1243</v>
      </c>
      <c r="B175">
        <v>336.96878525761565</v>
      </c>
      <c r="C175">
        <v>340.25003222064697</v>
      </c>
      <c r="D175">
        <v>303.18342597271345</v>
      </c>
    </row>
    <row r="176" spans="1:7">
      <c r="A176" s="1" t="s">
        <v>1245</v>
      </c>
      <c r="B176">
        <v>319.14893617021278</v>
      </c>
      <c r="C176">
        <v>331.74164362905253</v>
      </c>
      <c r="D176">
        <v>292.83329052144876</v>
      </c>
    </row>
    <row r="177" spans="1:5">
      <c r="A177" s="1" t="s">
        <v>1248</v>
      </c>
      <c r="B177">
        <v>358.80298499962311</v>
      </c>
      <c r="C177">
        <v>328.56253889234603</v>
      </c>
      <c r="D177">
        <v>319.10852222362922</v>
      </c>
    </row>
    <row r="178" spans="1:5">
      <c r="A178" s="1" t="s">
        <v>1249</v>
      </c>
      <c r="B178">
        <v>317.02514767091196</v>
      </c>
      <c r="C178">
        <v>275.6156692611969</v>
      </c>
      <c r="D178">
        <v>268.35043409629043</v>
      </c>
    </row>
    <row r="179" spans="1:5">
      <c r="A179" s="1" t="s">
        <v>1250</v>
      </c>
      <c r="B179">
        <v>316.14602935641699</v>
      </c>
      <c r="C179">
        <v>296.25972102209602</v>
      </c>
      <c r="D179">
        <v>291.29934840935221</v>
      </c>
    </row>
    <row r="180" spans="1:5">
      <c r="A180" s="1" t="s">
        <v>1253</v>
      </c>
      <c r="B180" t="e">
        <f>NA()</f>
        <v>#N/A</v>
      </c>
      <c r="C180">
        <v>344.74144391706221</v>
      </c>
      <c r="D180">
        <v>294.00386847195358</v>
      </c>
      <c r="E180" t="s">
        <v>14</v>
      </c>
    </row>
    <row r="181" spans="1:5">
      <c r="A181" s="1" t="s">
        <v>1255</v>
      </c>
      <c r="B181">
        <v>295.22862823061632</v>
      </c>
      <c r="C181">
        <v>279.99508780547706</v>
      </c>
      <c r="D181">
        <v>266.69959254228917</v>
      </c>
    </row>
    <row r="182" spans="1:5">
      <c r="A182" s="1" t="s">
        <v>1257</v>
      </c>
      <c r="B182">
        <v>293.83838888611263</v>
      </c>
      <c r="C182">
        <v>292.83329052144876</v>
      </c>
      <c r="D182">
        <v>280.22833419823559</v>
      </c>
    </row>
    <row r="183" spans="1:5">
      <c r="A183" s="1" t="s">
        <v>1259</v>
      </c>
      <c r="B183" t="e">
        <f>NA()</f>
        <v>#N/A</v>
      </c>
      <c r="C183">
        <v>340.44852742502025</v>
      </c>
      <c r="D183">
        <v>315</v>
      </c>
      <c r="E183" t="s">
        <v>113</v>
      </c>
    </row>
    <row r="184" spans="1:5">
      <c r="A184" s="1" t="s">
        <v>1261</v>
      </c>
      <c r="B184">
        <v>298.97600717542417</v>
      </c>
      <c r="C184">
        <v>314.84257871064472</v>
      </c>
      <c r="D184">
        <v>300.90270812437313</v>
      </c>
    </row>
    <row r="185" spans="1:5">
      <c r="A185" s="1" t="s">
        <v>1263</v>
      </c>
      <c r="B185">
        <v>377.33023882608364</v>
      </c>
      <c r="C185">
        <v>329.46461999251216</v>
      </c>
      <c r="D185">
        <v>319.06811851101548</v>
      </c>
    </row>
    <row r="186" spans="1:5">
      <c r="A186" s="1"/>
    </row>
    <row r="187" spans="1:5">
      <c r="A187" s="3" t="s">
        <v>18</v>
      </c>
      <c r="B187">
        <v>22</v>
      </c>
    </row>
    <row r="188" spans="1:5">
      <c r="A188" s="3" t="s">
        <v>191</v>
      </c>
      <c r="B188">
        <v>20</v>
      </c>
    </row>
    <row r="189" spans="1:5">
      <c r="A189" s="3" t="s">
        <v>192</v>
      </c>
      <c r="B189">
        <v>2</v>
      </c>
    </row>
    <row r="190" spans="1:5">
      <c r="A190" s="6" t="s">
        <v>193</v>
      </c>
      <c r="B190">
        <v>90.909090909090907</v>
      </c>
    </row>
    <row r="191" spans="1:5">
      <c r="A191" s="1"/>
    </row>
    <row r="192" spans="1:5">
      <c r="A192" s="4" t="s">
        <v>19</v>
      </c>
      <c r="B192">
        <v>16.328350116877754</v>
      </c>
    </row>
    <row r="193" spans="1:7">
      <c r="A193" s="1" t="s">
        <v>20</v>
      </c>
      <c r="B193">
        <v>233.38953927381664</v>
      </c>
    </row>
    <row r="194" spans="1:7">
      <c r="A194" s="1" t="s">
        <v>23</v>
      </c>
      <c r="B194">
        <v>15.277091977003236</v>
      </c>
    </row>
    <row r="195" spans="1:7">
      <c r="A195" s="1" t="s">
        <v>24</v>
      </c>
      <c r="B195">
        <v>3.2570869533276388</v>
      </c>
    </row>
    <row r="196" spans="1:7">
      <c r="A196" s="1" t="s">
        <v>21</v>
      </c>
      <c r="B196">
        <v>5.0131759915699261</v>
      </c>
    </row>
    <row r="197" spans="1:7">
      <c r="A197" s="4" t="s">
        <v>22</v>
      </c>
      <c r="B197">
        <f>TDIST(ABS(B196),21,1)</f>
        <v>2.9050953111016666E-5</v>
      </c>
    </row>
    <row r="198" spans="1:7">
      <c r="A198" s="1"/>
    </row>
    <row r="199" spans="1:7">
      <c r="A199" s="5" t="s">
        <v>1762</v>
      </c>
    </row>
    <row r="200" spans="1:7">
      <c r="A200" s="4" t="s">
        <v>7</v>
      </c>
      <c r="B200" s="3" t="s">
        <v>8</v>
      </c>
      <c r="C200" s="3" t="s">
        <v>9</v>
      </c>
      <c r="D200" s="3" t="s">
        <v>10</v>
      </c>
      <c r="E200" s="3" t="s">
        <v>11</v>
      </c>
      <c r="F200" s="3" t="s">
        <v>12</v>
      </c>
      <c r="G200" s="3" t="s">
        <v>13</v>
      </c>
    </row>
    <row r="201" spans="1:7">
      <c r="A201" s="1" t="s">
        <v>1222</v>
      </c>
      <c r="B201">
        <v>374.92259197387591</v>
      </c>
      <c r="C201">
        <v>300.78957262814885</v>
      </c>
      <c r="D201">
        <v>303.05075170270862</v>
      </c>
    </row>
    <row r="202" spans="1:7">
      <c r="A202" s="1" t="s">
        <v>1224</v>
      </c>
      <c r="B202">
        <v>335.51350541714515</v>
      </c>
      <c r="C202">
        <v>308.93710923133506</v>
      </c>
      <c r="D202">
        <v>312.57752418754654</v>
      </c>
    </row>
    <row r="203" spans="1:7">
      <c r="A203" s="1" t="s">
        <v>1226</v>
      </c>
      <c r="B203">
        <v>339.14413625790962</v>
      </c>
      <c r="C203">
        <v>317.02100893194108</v>
      </c>
      <c r="D203">
        <v>295.56650246305418</v>
      </c>
    </row>
    <row r="204" spans="1:7">
      <c r="A204" s="1" t="s">
        <v>1228</v>
      </c>
      <c r="B204">
        <v>348.16537855481351</v>
      </c>
      <c r="C204">
        <v>316.3047571231329</v>
      </c>
      <c r="D204">
        <v>303.951367781155</v>
      </c>
    </row>
    <row r="205" spans="1:7">
      <c r="A205" s="1" t="s">
        <v>1230</v>
      </c>
      <c r="B205">
        <v>335.29587865482483</v>
      </c>
      <c r="C205">
        <v>359.50567969042567</v>
      </c>
      <c r="D205">
        <v>287.47951078048163</v>
      </c>
    </row>
    <row r="206" spans="1:7">
      <c r="A206" t="s">
        <v>1232</v>
      </c>
      <c r="B206">
        <v>371.73978215249326</v>
      </c>
      <c r="C206">
        <v>349.27866362946088</v>
      </c>
      <c r="D206">
        <v>296.2962962962963</v>
      </c>
    </row>
    <row r="207" spans="1:7">
      <c r="A207" t="s">
        <v>1234</v>
      </c>
      <c r="B207">
        <v>364.65987495952373</v>
      </c>
      <c r="C207">
        <v>343.11287916459474</v>
      </c>
      <c r="D207">
        <v>304.25963488843809</v>
      </c>
    </row>
    <row r="208" spans="1:7">
      <c r="A208" t="s">
        <v>1235</v>
      </c>
      <c r="B208">
        <v>354.14165666266507</v>
      </c>
      <c r="C208">
        <v>305.65461029037192</v>
      </c>
      <c r="D208">
        <v>286.72032193158952</v>
      </c>
    </row>
    <row r="209" spans="1:4">
      <c r="A209" t="s">
        <v>1239</v>
      </c>
      <c r="B209">
        <v>348.03169211743136</v>
      </c>
      <c r="C209">
        <v>311.95840554592723</v>
      </c>
      <c r="D209">
        <v>286.97293895531783</v>
      </c>
    </row>
    <row r="210" spans="1:4">
      <c r="A210" s="1" t="s">
        <v>1240</v>
      </c>
      <c r="B210">
        <v>303.92697728070618</v>
      </c>
      <c r="C210">
        <v>307.69230769230768</v>
      </c>
      <c r="D210">
        <v>286.46814926498308</v>
      </c>
    </row>
    <row r="211" spans="1:4">
      <c r="A211" s="1" t="s">
        <v>1242</v>
      </c>
      <c r="B211">
        <v>320.65529555727591</v>
      </c>
      <c r="C211">
        <v>312.30635766513814</v>
      </c>
      <c r="D211">
        <v>281.16907140214579</v>
      </c>
    </row>
    <row r="212" spans="1:4">
      <c r="A212" s="1" t="s">
        <v>1244</v>
      </c>
      <c r="B212">
        <v>342.14541180001498</v>
      </c>
      <c r="C212">
        <v>328.80807074355459</v>
      </c>
      <c r="D212">
        <v>292.94616471797508</v>
      </c>
    </row>
    <row r="213" spans="1:4">
      <c r="A213" s="1" t="s">
        <v>1246</v>
      </c>
      <c r="B213">
        <v>286.33211542763405</v>
      </c>
      <c r="C213">
        <v>293.32304129679659</v>
      </c>
      <c r="D213">
        <v>277.45664739884393</v>
      </c>
    </row>
    <row r="214" spans="1:4">
      <c r="A214" s="1" t="s">
        <v>1247</v>
      </c>
      <c r="B214">
        <v>374.78795848400881</v>
      </c>
      <c r="C214">
        <v>371.14932574539154</v>
      </c>
      <c r="D214">
        <v>328.56253889234603</v>
      </c>
    </row>
    <row r="215" spans="1:4">
      <c r="A215" s="1" t="s">
        <v>1251</v>
      </c>
      <c r="B215">
        <v>313.09583542398394</v>
      </c>
      <c r="C215">
        <v>309.96309963099628</v>
      </c>
      <c r="D215">
        <v>279.64785085447954</v>
      </c>
    </row>
    <row r="216" spans="1:4">
      <c r="A216" s="1" t="s">
        <v>1252</v>
      </c>
      <c r="B216">
        <v>302.75023105937601</v>
      </c>
      <c r="C216">
        <v>292.72050327384773</v>
      </c>
      <c r="D216">
        <v>290.5920813657828</v>
      </c>
    </row>
    <row r="217" spans="1:4">
      <c r="A217" s="1" t="s">
        <v>1254</v>
      </c>
      <c r="B217">
        <v>321.82870892548311</v>
      </c>
      <c r="C217">
        <v>335.92060058531615</v>
      </c>
      <c r="D217">
        <v>306.98388334612434</v>
      </c>
    </row>
    <row r="218" spans="1:4">
      <c r="A218" t="s">
        <v>1256</v>
      </c>
      <c r="B218">
        <v>347.72817426710276</v>
      </c>
      <c r="C218">
        <v>325.24331649624241</v>
      </c>
      <c r="D218">
        <v>301.35610246107484</v>
      </c>
    </row>
    <row r="219" spans="1:4">
      <c r="A219" t="s">
        <v>1258</v>
      </c>
      <c r="B219">
        <v>329.84332442090005</v>
      </c>
      <c r="C219">
        <v>336.9140625</v>
      </c>
      <c r="D219">
        <v>305.56566024008731</v>
      </c>
    </row>
    <row r="220" spans="1:4">
      <c r="A220" t="s">
        <v>1260</v>
      </c>
      <c r="B220">
        <v>337.03638688968579</v>
      </c>
      <c r="C220">
        <v>334.95145631067959</v>
      </c>
      <c r="D220">
        <v>307.18034045821065</v>
      </c>
    </row>
    <row r="221" spans="1:4">
      <c r="A221" t="s">
        <v>1262</v>
      </c>
      <c r="B221">
        <v>282.93368114778769</v>
      </c>
      <c r="C221">
        <v>343.027591349739</v>
      </c>
      <c r="D221">
        <v>303.26004548900687</v>
      </c>
    </row>
    <row r="222" spans="1:4">
      <c r="A222" s="1" t="s">
        <v>1264</v>
      </c>
      <c r="B222">
        <v>322.24871376584264</v>
      </c>
      <c r="C222">
        <v>321.30562284839982</v>
      </c>
      <c r="D222">
        <v>316.42390758412859</v>
      </c>
    </row>
    <row r="223" spans="1:4">
      <c r="A223" s="1"/>
    </row>
    <row r="224" spans="1:4">
      <c r="A224" s="4" t="s">
        <v>18</v>
      </c>
      <c r="B224">
        <v>22</v>
      </c>
    </row>
    <row r="225" spans="1:7">
      <c r="A225" s="4" t="s">
        <v>191</v>
      </c>
      <c r="B225">
        <v>20</v>
      </c>
    </row>
    <row r="226" spans="1:7">
      <c r="A226" s="4" t="s">
        <v>192</v>
      </c>
      <c r="B226">
        <v>2</v>
      </c>
    </row>
    <row r="227" spans="1:7">
      <c r="A227" s="6" t="s">
        <v>193</v>
      </c>
      <c r="B227">
        <v>90.909090909090907</v>
      </c>
    </row>
    <row r="228" spans="1:7">
      <c r="A228" s="1"/>
    </row>
    <row r="229" spans="1:7">
      <c r="A229" s="3" t="s">
        <v>19</v>
      </c>
      <c r="B229">
        <v>25.972761359635058</v>
      </c>
    </row>
    <row r="230" spans="1:7">
      <c r="A230" t="s">
        <v>20</v>
      </c>
      <c r="B230">
        <v>320.9447513398739</v>
      </c>
    </row>
    <row r="231" spans="1:7">
      <c r="A231" t="s">
        <v>23</v>
      </c>
      <c r="B231">
        <v>17.914930961069146</v>
      </c>
    </row>
    <row r="232" spans="1:7">
      <c r="A232" t="s">
        <v>24</v>
      </c>
      <c r="B232">
        <v>3.8194761143612466</v>
      </c>
    </row>
    <row r="233" spans="1:7">
      <c r="A233" s="1" t="s">
        <v>21</v>
      </c>
      <c r="B233">
        <v>6.8000847713060342</v>
      </c>
    </row>
    <row r="234" spans="1:7">
      <c r="A234" s="4" t="s">
        <v>22</v>
      </c>
      <c r="B234">
        <f>TDIST(ABS(B233),21,1)</f>
        <v>5.0216705320941837E-7</v>
      </c>
    </row>
    <row r="235" spans="1:7">
      <c r="A235" s="1"/>
    </row>
    <row r="236" spans="1:7">
      <c r="A236" s="5" t="s">
        <v>1834</v>
      </c>
    </row>
    <row r="237" spans="1:7">
      <c r="A237" s="4" t="s">
        <v>7</v>
      </c>
      <c r="B237" s="3" t="s">
        <v>8</v>
      </c>
      <c r="C237" s="3" t="s">
        <v>9</v>
      </c>
      <c r="D237" s="3" t="s">
        <v>10</v>
      </c>
      <c r="E237" s="3" t="s">
        <v>11</v>
      </c>
      <c r="F237" s="3" t="s">
        <v>12</v>
      </c>
      <c r="G237" s="3" t="s">
        <v>13</v>
      </c>
    </row>
    <row r="238" spans="1:7">
      <c r="A238" s="1" t="s">
        <v>1265</v>
      </c>
      <c r="B238">
        <v>351.9361701430206</v>
      </c>
      <c r="C238">
        <v>317.66040589940752</v>
      </c>
      <c r="D238">
        <v>309.87734021949649</v>
      </c>
    </row>
    <row r="239" spans="1:7">
      <c r="A239" s="1" t="s">
        <v>1268</v>
      </c>
      <c r="B239">
        <v>325.79456012752814</v>
      </c>
      <c r="C239">
        <v>316.38418079096044</v>
      </c>
      <c r="D239">
        <v>317.50031498047122</v>
      </c>
    </row>
    <row r="240" spans="1:7">
      <c r="A240" s="1" t="s">
        <v>1269</v>
      </c>
      <c r="B240">
        <v>345.73468620819239</v>
      </c>
      <c r="C240">
        <v>299.66287926083152</v>
      </c>
      <c r="D240">
        <v>300.60120240480961</v>
      </c>
    </row>
    <row r="241" spans="1:7">
      <c r="A241" t="s">
        <v>1271</v>
      </c>
      <c r="B241">
        <v>316.47954185818702</v>
      </c>
      <c r="C241">
        <v>302.53371990419765</v>
      </c>
      <c r="D241">
        <v>300.18761726078799</v>
      </c>
    </row>
    <row r="243" spans="1:7">
      <c r="A243" s="3" t="s">
        <v>18</v>
      </c>
      <c r="B243">
        <v>4</v>
      </c>
    </row>
    <row r="244" spans="1:7">
      <c r="A244" s="3" t="s">
        <v>191</v>
      </c>
      <c r="B244">
        <v>2</v>
      </c>
    </row>
    <row r="245" spans="1:7">
      <c r="A245" s="4" t="s">
        <v>192</v>
      </c>
      <c r="B245">
        <v>2</v>
      </c>
    </row>
    <row r="246" spans="1:7">
      <c r="A246" s="6" t="s">
        <v>193</v>
      </c>
      <c r="B246">
        <v>50</v>
      </c>
    </row>
    <row r="247" spans="1:7">
      <c r="A247" s="1"/>
    </row>
    <row r="248" spans="1:7">
      <c r="A248" s="4" t="s">
        <v>19</v>
      </c>
      <c r="B248">
        <v>2.0186777474579571</v>
      </c>
    </row>
    <row r="249" spans="1:7">
      <c r="A249" s="1" t="s">
        <v>20</v>
      </c>
      <c r="B249">
        <v>17.302091816804964</v>
      </c>
    </row>
    <row r="250" spans="1:7">
      <c r="A250" s="1" t="s">
        <v>23</v>
      </c>
      <c r="B250">
        <v>4.1595783219943057</v>
      </c>
    </row>
    <row r="251" spans="1:7">
      <c r="A251" s="1" t="s">
        <v>24</v>
      </c>
      <c r="B251">
        <v>2.0797891609971528</v>
      </c>
    </row>
    <row r="252" spans="1:7">
      <c r="A252" s="1" t="s">
        <v>21</v>
      </c>
      <c r="B252">
        <v>0.97061653426932182</v>
      </c>
    </row>
    <row r="253" spans="1:7">
      <c r="A253" s="4" t="s">
        <v>22</v>
      </c>
      <c r="B253">
        <f>TDIST(ABS(B252),3,1)</f>
        <v>0.20166577122077084</v>
      </c>
    </row>
    <row r="254" spans="1:7">
      <c r="A254" s="1"/>
    </row>
    <row r="255" spans="1:7">
      <c r="A255" s="2" t="s">
        <v>1835</v>
      </c>
    </row>
    <row r="256" spans="1:7">
      <c r="A256" s="3" t="s">
        <v>7</v>
      </c>
      <c r="B256" s="3" t="s">
        <v>8</v>
      </c>
      <c r="C256" s="3" t="s">
        <v>9</v>
      </c>
      <c r="D256" s="3" t="s">
        <v>10</v>
      </c>
      <c r="E256" s="3" t="s">
        <v>11</v>
      </c>
      <c r="F256" s="3" t="s">
        <v>12</v>
      </c>
      <c r="G256" s="3" t="s">
        <v>13</v>
      </c>
    </row>
    <row r="257" spans="1:4">
      <c r="A257" t="s">
        <v>1266</v>
      </c>
      <c r="B257">
        <v>342.46232413758577</v>
      </c>
      <c r="C257">
        <v>313.82316313823162</v>
      </c>
      <c r="D257">
        <v>326.55176882208116</v>
      </c>
    </row>
    <row r="258" spans="1:4">
      <c r="A258" t="s">
        <v>1267</v>
      </c>
      <c r="B258">
        <v>343.91666251308379</v>
      </c>
      <c r="C258">
        <v>312.42251425737669</v>
      </c>
      <c r="D258">
        <v>323.78260310934087</v>
      </c>
    </row>
    <row r="259" spans="1:4">
      <c r="A259" s="1" t="s">
        <v>1270</v>
      </c>
      <c r="B259">
        <v>329.37418904082239</v>
      </c>
      <c r="C259">
        <v>291.33657040633784</v>
      </c>
      <c r="D259">
        <v>300.71419621601302</v>
      </c>
    </row>
    <row r="260" spans="1:4">
      <c r="A260" s="1" t="s">
        <v>1272</v>
      </c>
      <c r="B260">
        <v>357.02677700827564</v>
      </c>
      <c r="C260">
        <v>315.67080045095827</v>
      </c>
      <c r="D260">
        <v>304.72320975114269</v>
      </c>
    </row>
    <row r="261" spans="1:4">
      <c r="A261" s="1"/>
    </row>
    <row r="262" spans="1:4">
      <c r="A262" s="4" t="s">
        <v>18</v>
      </c>
      <c r="B262">
        <v>4</v>
      </c>
    </row>
    <row r="263" spans="1:4">
      <c r="A263" s="4" t="s">
        <v>191</v>
      </c>
      <c r="B263">
        <v>1</v>
      </c>
    </row>
    <row r="264" spans="1:4">
      <c r="A264" s="4" t="s">
        <v>192</v>
      </c>
      <c r="B264">
        <v>3</v>
      </c>
    </row>
    <row r="265" spans="1:4">
      <c r="A265" s="6" t="s">
        <v>193</v>
      </c>
      <c r="B265">
        <v>25</v>
      </c>
    </row>
    <row r="266" spans="1:4">
      <c r="A266" s="1"/>
    </row>
    <row r="267" spans="1:4">
      <c r="A267" s="4" t="s">
        <v>19</v>
      </c>
      <c r="B267">
        <v>-5.6296824114183295</v>
      </c>
    </row>
    <row r="268" spans="1:4">
      <c r="A268" s="1" t="s">
        <v>20</v>
      </c>
      <c r="B268">
        <v>124.0284443742302</v>
      </c>
    </row>
    <row r="269" spans="1:4">
      <c r="A269" s="1" t="s">
        <v>23</v>
      </c>
      <c r="B269">
        <v>11.136805842530892</v>
      </c>
    </row>
    <row r="270" spans="1:4">
      <c r="A270" s="1" t="s">
        <v>24</v>
      </c>
      <c r="B270">
        <v>5.568402921265446</v>
      </c>
    </row>
    <row r="271" spans="1:4">
      <c r="A271" s="1" t="s">
        <v>21</v>
      </c>
      <c r="B271">
        <v>-1.0110048592063732</v>
      </c>
    </row>
    <row r="272" spans="1:4">
      <c r="A272" s="4" t="s">
        <v>22</v>
      </c>
      <c r="B272">
        <f>TDIST(ABS(B271),3,1)</f>
        <v>0.1932383690391144</v>
      </c>
    </row>
    <row r="273" spans="1:7">
      <c r="A273" s="1"/>
    </row>
    <row r="274" spans="1:7">
      <c r="A274" s="2" t="s">
        <v>1836</v>
      </c>
    </row>
    <row r="275" spans="1:7">
      <c r="A275" s="3" t="s">
        <v>7</v>
      </c>
      <c r="B275" s="3" t="s">
        <v>8</v>
      </c>
      <c r="C275" s="3" t="s">
        <v>9</v>
      </c>
      <c r="D275" s="3" t="s">
        <v>10</v>
      </c>
      <c r="E275" s="3" t="s">
        <v>11</v>
      </c>
      <c r="F275" s="3" t="s">
        <v>12</v>
      </c>
      <c r="G275" s="3" t="s">
        <v>13</v>
      </c>
    </row>
    <row r="276" spans="1:7">
      <c r="A276" t="s">
        <v>1273</v>
      </c>
      <c r="B276">
        <v>336.58903080390684</v>
      </c>
      <c r="C276">
        <v>316.66247800955017</v>
      </c>
      <c r="D276">
        <v>322.45681381957775</v>
      </c>
    </row>
    <row r="277" spans="1:7">
      <c r="A277" t="s">
        <v>1274</v>
      </c>
      <c r="B277">
        <v>330.21463951568518</v>
      </c>
      <c r="C277">
        <v>308.14380044020544</v>
      </c>
      <c r="D277">
        <v>319.06811851101548</v>
      </c>
    </row>
    <row r="278" spans="1:7">
      <c r="A278" s="1" t="s">
        <v>1277</v>
      </c>
      <c r="B278">
        <v>327.77026011126145</v>
      </c>
      <c r="C278">
        <v>306.044376434583</v>
      </c>
      <c r="D278">
        <v>302.34315948601665</v>
      </c>
    </row>
    <row r="279" spans="1:7">
      <c r="A279" s="1" t="s">
        <v>1279</v>
      </c>
      <c r="B279">
        <v>344.85343728915211</v>
      </c>
      <c r="C279">
        <v>309.12659470068695</v>
      </c>
      <c r="D279">
        <v>303.32209918151182</v>
      </c>
    </row>
    <row r="280" spans="1:7">
      <c r="A280" s="1"/>
    </row>
    <row r="281" spans="1:7">
      <c r="A281" s="4" t="s">
        <v>18</v>
      </c>
      <c r="B281">
        <v>4</v>
      </c>
    </row>
    <row r="282" spans="1:7">
      <c r="A282" s="4" t="s">
        <v>191</v>
      </c>
      <c r="B282">
        <v>2</v>
      </c>
    </row>
    <row r="283" spans="1:7">
      <c r="A283" s="4" t="s">
        <v>192</v>
      </c>
      <c r="B283">
        <v>2</v>
      </c>
    </row>
    <row r="284" spans="1:7">
      <c r="A284" s="6" t="s">
        <v>193</v>
      </c>
      <c r="B284">
        <v>50</v>
      </c>
    </row>
    <row r="285" spans="1:7">
      <c r="A285" s="1"/>
    </row>
    <row r="286" spans="1:7">
      <c r="A286" s="4" t="s">
        <v>19</v>
      </c>
      <c r="B286">
        <v>-1.8032353532740331</v>
      </c>
    </row>
    <row r="287" spans="1:7">
      <c r="A287" s="1" t="s">
        <v>20</v>
      </c>
      <c r="B287">
        <v>62.433198988961529</v>
      </c>
    </row>
    <row r="288" spans="1:7">
      <c r="A288" s="1" t="s">
        <v>23</v>
      </c>
      <c r="B288">
        <v>7.9014681540180574</v>
      </c>
    </row>
    <row r="289" spans="1:7">
      <c r="A289" s="1" t="s">
        <v>24</v>
      </c>
      <c r="B289">
        <v>3.9507340770090287</v>
      </c>
    </row>
    <row r="290" spans="1:7">
      <c r="A290" s="1" t="s">
        <v>21</v>
      </c>
      <c r="B290">
        <v>-0.45643045523306985</v>
      </c>
    </row>
    <row r="291" spans="1:7">
      <c r="A291" s="4" t="s">
        <v>22</v>
      </c>
      <c r="B291">
        <f>TDIST(ABS(B290),3,1)</f>
        <v>0.33954907064746764</v>
      </c>
    </row>
    <row r="292" spans="1:7">
      <c r="A292" s="1"/>
    </row>
    <row r="293" spans="1:7">
      <c r="A293" s="5" t="s">
        <v>1837</v>
      </c>
    </row>
    <row r="294" spans="1:7">
      <c r="A294" s="3" t="s">
        <v>7</v>
      </c>
      <c r="B294" s="3" t="s">
        <v>8</v>
      </c>
      <c r="C294" s="3" t="s">
        <v>9</v>
      </c>
      <c r="D294" s="3" t="s">
        <v>10</v>
      </c>
      <c r="E294" s="3" t="s">
        <v>11</v>
      </c>
      <c r="F294" s="3" t="s">
        <v>12</v>
      </c>
      <c r="G294" s="3" t="s">
        <v>13</v>
      </c>
    </row>
    <row r="295" spans="1:7">
      <c r="A295" t="s">
        <v>1275</v>
      </c>
      <c r="B295">
        <v>343.08279246390936</v>
      </c>
      <c r="C295">
        <v>310.27795733678084</v>
      </c>
      <c r="D295">
        <v>320.85561497326205</v>
      </c>
    </row>
    <row r="296" spans="1:7">
      <c r="A296" t="s">
        <v>1276</v>
      </c>
      <c r="B296">
        <v>329.67863894139884</v>
      </c>
      <c r="C296">
        <v>312.65508684863522</v>
      </c>
      <c r="D296">
        <v>322.265625</v>
      </c>
    </row>
    <row r="297" spans="1:7">
      <c r="A297" t="s">
        <v>1278</v>
      </c>
      <c r="B297">
        <v>312.64091387344052</v>
      </c>
      <c r="C297">
        <v>326.04476646396688</v>
      </c>
      <c r="D297">
        <v>341.08527131782944</v>
      </c>
    </row>
    <row r="298" spans="1:7">
      <c r="A298" s="1" t="s">
        <v>1280</v>
      </c>
      <c r="B298">
        <v>346.03811434302912</v>
      </c>
      <c r="C298">
        <v>304.06689471683768</v>
      </c>
      <c r="D298">
        <v>301.79640718562877</v>
      </c>
    </row>
    <row r="299" spans="1:7">
      <c r="A299" s="1"/>
    </row>
    <row r="300" spans="1:7">
      <c r="A300" s="4" t="s">
        <v>18</v>
      </c>
      <c r="B300">
        <v>4</v>
      </c>
    </row>
    <row r="301" spans="1:7">
      <c r="A301" s="4" t="s">
        <v>191</v>
      </c>
      <c r="B301">
        <v>1</v>
      </c>
    </row>
    <row r="302" spans="1:7">
      <c r="A302" s="4" t="s">
        <v>192</v>
      </c>
      <c r="B302">
        <v>3</v>
      </c>
    </row>
    <row r="303" spans="1:7">
      <c r="A303" s="6" t="s">
        <v>193</v>
      </c>
      <c r="B303">
        <v>25</v>
      </c>
    </row>
    <row r="305" spans="1:7">
      <c r="A305" s="3" t="s">
        <v>19</v>
      </c>
      <c r="B305">
        <v>-8.239553277624907</v>
      </c>
    </row>
    <row r="306" spans="1:7">
      <c r="A306" t="s">
        <v>20</v>
      </c>
      <c r="B306">
        <v>54.686743887536011</v>
      </c>
    </row>
    <row r="307" spans="1:7">
      <c r="A307" t="s">
        <v>23</v>
      </c>
      <c r="B307">
        <v>7.3950486061645337</v>
      </c>
    </row>
    <row r="308" spans="1:7">
      <c r="A308" s="1" t="s">
        <v>24</v>
      </c>
      <c r="B308">
        <v>3.6975243030822669</v>
      </c>
    </row>
    <row r="309" spans="1:7">
      <c r="A309" s="1" t="s">
        <v>21</v>
      </c>
      <c r="B309">
        <v>-2.2283973281139469</v>
      </c>
    </row>
    <row r="310" spans="1:7">
      <c r="A310" s="4" t="s">
        <v>22</v>
      </c>
      <c r="B310">
        <f>TDIST(ABS(B309),3,1)</f>
        <v>5.6081756275636017E-2</v>
      </c>
    </row>
    <row r="311" spans="1:7">
      <c r="A311" s="1"/>
    </row>
    <row r="312" spans="1:7">
      <c r="A312" s="2" t="s">
        <v>1838</v>
      </c>
    </row>
    <row r="313" spans="1:7">
      <c r="A313" s="3" t="s">
        <v>7</v>
      </c>
      <c r="B313" s="3" t="s">
        <v>8</v>
      </c>
      <c r="C313" s="3" t="s">
        <v>9</v>
      </c>
      <c r="D313" s="3" t="s">
        <v>10</v>
      </c>
      <c r="E313" s="3" t="s">
        <v>11</v>
      </c>
      <c r="F313" s="3" t="s">
        <v>12</v>
      </c>
      <c r="G313" s="3" t="s">
        <v>13</v>
      </c>
    </row>
    <row r="314" spans="1:7">
      <c r="A314" t="s">
        <v>1281</v>
      </c>
      <c r="B314">
        <v>339.61130034061313</v>
      </c>
      <c r="C314">
        <v>319.67525053913488</v>
      </c>
      <c r="D314">
        <v>312.84916201117318</v>
      </c>
    </row>
    <row r="315" spans="1:7">
      <c r="A315" t="s">
        <v>1282</v>
      </c>
      <c r="B315">
        <v>338.89757425992229</v>
      </c>
      <c r="C315">
        <v>321.42857142857144</v>
      </c>
      <c r="D315">
        <v>333.92360232734632</v>
      </c>
    </row>
    <row r="316" spans="1:7">
      <c r="A316" s="1" t="s">
        <v>1285</v>
      </c>
      <c r="B316">
        <v>325.80267516875483</v>
      </c>
      <c r="C316">
        <v>301.12923462986197</v>
      </c>
      <c r="D316">
        <v>303.75901784584227</v>
      </c>
    </row>
    <row r="317" spans="1:7">
      <c r="A317" s="1" t="s">
        <v>1288</v>
      </c>
      <c r="B317">
        <v>342.65103697024347</v>
      </c>
      <c r="C317">
        <v>314.17528986410673</v>
      </c>
      <c r="D317">
        <v>307.85017957927141</v>
      </c>
    </row>
    <row r="318" spans="1:7">
      <c r="A318" s="1"/>
    </row>
    <row r="319" spans="1:7">
      <c r="A319" s="4" t="s">
        <v>18</v>
      </c>
      <c r="B319">
        <v>4</v>
      </c>
    </row>
    <row r="320" spans="1:7">
      <c r="A320" s="4" t="s">
        <v>191</v>
      </c>
      <c r="B320">
        <v>2</v>
      </c>
    </row>
    <row r="321" spans="1:7">
      <c r="A321" s="4" t="s">
        <v>192</v>
      </c>
      <c r="B321">
        <v>2</v>
      </c>
    </row>
    <row r="322" spans="1:7">
      <c r="A322" s="6" t="s">
        <v>193</v>
      </c>
      <c r="B322">
        <v>50</v>
      </c>
    </row>
    <row r="323" spans="1:7">
      <c r="A323" s="1"/>
    </row>
    <row r="324" spans="1:7">
      <c r="A324" s="4" t="s">
        <v>19</v>
      </c>
      <c r="B324">
        <v>-0.49340382548953687</v>
      </c>
    </row>
    <row r="325" spans="1:7">
      <c r="A325" s="1" t="s">
        <v>20</v>
      </c>
      <c r="B325">
        <v>82.89009076375315</v>
      </c>
    </row>
    <row r="326" spans="1:7">
      <c r="A326" s="1" t="s">
        <v>23</v>
      </c>
      <c r="B326">
        <v>9.1043995279069971</v>
      </c>
    </row>
    <row r="327" spans="1:7">
      <c r="A327" s="1" t="s">
        <v>24</v>
      </c>
      <c r="B327">
        <v>4.5521997639534986</v>
      </c>
    </row>
    <row r="328" spans="1:7">
      <c r="A328" s="1" t="s">
        <v>21</v>
      </c>
      <c r="B328">
        <v>-0.1083879994451353</v>
      </c>
    </row>
    <row r="329" spans="1:7">
      <c r="A329" s="4" t="s">
        <v>22</v>
      </c>
      <c r="B329">
        <f>TDIST(ABS(B328),3,1)</f>
        <v>0.46026534826982546</v>
      </c>
    </row>
    <row r="330" spans="1:7">
      <c r="A330" s="1"/>
    </row>
    <row r="331" spans="1:7">
      <c r="A331" s="5" t="s">
        <v>1839</v>
      </c>
    </row>
    <row r="332" spans="1:7">
      <c r="A332" s="4" t="s">
        <v>7</v>
      </c>
      <c r="B332" s="3" t="s">
        <v>8</v>
      </c>
      <c r="C332" s="3" t="s">
        <v>9</v>
      </c>
      <c r="D332" s="3" t="s">
        <v>10</v>
      </c>
      <c r="E332" s="3" t="s">
        <v>11</v>
      </c>
      <c r="F332" s="3" t="s">
        <v>12</v>
      </c>
      <c r="G332" s="3" t="s">
        <v>13</v>
      </c>
    </row>
    <row r="333" spans="1:7">
      <c r="A333" t="s">
        <v>1283</v>
      </c>
      <c r="B333">
        <v>331.00127886857746</v>
      </c>
      <c r="C333">
        <v>317.38398653522484</v>
      </c>
      <c r="D333">
        <v>316.98113207547169</v>
      </c>
    </row>
    <row r="334" spans="1:7">
      <c r="A334" t="s">
        <v>1284</v>
      </c>
      <c r="B334">
        <v>354.96780929180443</v>
      </c>
      <c r="C334">
        <v>314.09697120777759</v>
      </c>
      <c r="D334">
        <v>320.08129048647271</v>
      </c>
    </row>
    <row r="335" spans="1:7">
      <c r="A335" t="s">
        <v>1286</v>
      </c>
      <c r="B335">
        <v>332.80031980811509</v>
      </c>
      <c r="C335">
        <v>319.65128950236107</v>
      </c>
      <c r="D335">
        <v>315.59173450219163</v>
      </c>
    </row>
    <row r="336" spans="1:7">
      <c r="A336" t="s">
        <v>1287</v>
      </c>
      <c r="B336">
        <v>333.79694019471486</v>
      </c>
      <c r="C336">
        <v>308.76109610189116</v>
      </c>
      <c r="D336">
        <v>302.1945077347404</v>
      </c>
    </row>
    <row r="337" spans="1:7">
      <c r="A337" s="1"/>
    </row>
    <row r="338" spans="1:7">
      <c r="A338" s="4" t="s">
        <v>18</v>
      </c>
      <c r="B338">
        <v>4</v>
      </c>
    </row>
    <row r="339" spans="1:7">
      <c r="A339" s="4" t="s">
        <v>191</v>
      </c>
      <c r="B339">
        <v>3</v>
      </c>
    </row>
    <row r="340" spans="1:7">
      <c r="A340" s="4" t="s">
        <v>192</v>
      </c>
      <c r="B340">
        <v>1</v>
      </c>
    </row>
    <row r="341" spans="1:7">
      <c r="A341" s="6" t="s">
        <v>193</v>
      </c>
      <c r="B341">
        <v>75</v>
      </c>
    </row>
    <row r="342" spans="1:7">
      <c r="A342" s="1"/>
    </row>
    <row r="343" spans="1:7">
      <c r="A343" s="4" t="s">
        <v>19</v>
      </c>
      <c r="B343">
        <v>1.2611696370945538</v>
      </c>
    </row>
    <row r="344" spans="1:7">
      <c r="A344" s="1" t="s">
        <v>20</v>
      </c>
      <c r="B344">
        <v>29.73741437132955</v>
      </c>
    </row>
    <row r="345" spans="1:7">
      <c r="A345" s="1" t="s">
        <v>23</v>
      </c>
      <c r="B345">
        <v>5.4532022125838644</v>
      </c>
    </row>
    <row r="346" spans="1:7">
      <c r="A346" s="1" t="s">
        <v>24</v>
      </c>
      <c r="B346">
        <v>2.7266011062919322</v>
      </c>
    </row>
    <row r="347" spans="1:7">
      <c r="A347" s="1" t="s">
        <v>21</v>
      </c>
      <c r="B347">
        <v>0.46254277319269987</v>
      </c>
    </row>
    <row r="348" spans="1:7">
      <c r="A348" s="4" t="s">
        <v>22</v>
      </c>
      <c r="B348">
        <f>TDIST(ABS(B347),3,1)</f>
        <v>0.33758818525122314</v>
      </c>
    </row>
    <row r="349" spans="1:7">
      <c r="A349" s="1"/>
    </row>
    <row r="350" spans="1:7">
      <c r="A350" s="5" t="s">
        <v>1840</v>
      </c>
    </row>
    <row r="351" spans="1:7">
      <c r="A351" s="3" t="s">
        <v>7</v>
      </c>
      <c r="B351" s="3" t="s">
        <v>8</v>
      </c>
      <c r="C351" s="3" t="s">
        <v>9</v>
      </c>
      <c r="D351" s="3" t="s">
        <v>10</v>
      </c>
      <c r="E351" s="3" t="s">
        <v>11</v>
      </c>
      <c r="F351" s="3" t="s">
        <v>12</v>
      </c>
      <c r="G351" s="3" t="s">
        <v>13</v>
      </c>
    </row>
    <row r="352" spans="1:7">
      <c r="A352" t="s">
        <v>1289</v>
      </c>
      <c r="B352">
        <v>342.65103697024347</v>
      </c>
      <c r="C352">
        <v>327.65570146924972</v>
      </c>
      <c r="D352">
        <v>321.51991231275122</v>
      </c>
    </row>
    <row r="353" spans="1:4">
      <c r="A353" t="s">
        <v>1290</v>
      </c>
      <c r="B353">
        <v>335.0785340314136</v>
      </c>
      <c r="C353">
        <v>309.31821110967911</v>
      </c>
      <c r="D353">
        <v>328.35820895522386</v>
      </c>
    </row>
    <row r="354" spans="1:4">
      <c r="A354" t="s">
        <v>1293</v>
      </c>
      <c r="B354">
        <v>353.44332676035248</v>
      </c>
      <c r="C354">
        <v>321.10091743119267</v>
      </c>
      <c r="D354">
        <v>321.89970714482905</v>
      </c>
    </row>
    <row r="355" spans="1:4">
      <c r="A355" s="1" t="s">
        <v>1294</v>
      </c>
      <c r="B355">
        <v>339.64532611962727</v>
      </c>
      <c r="C355">
        <v>311.41868512110727</v>
      </c>
      <c r="D355">
        <v>318.18181818181819</v>
      </c>
    </row>
    <row r="356" spans="1:4">
      <c r="A356" s="1"/>
    </row>
    <row r="357" spans="1:4">
      <c r="A357" s="3" t="s">
        <v>18</v>
      </c>
      <c r="B357">
        <v>4</v>
      </c>
    </row>
    <row r="358" spans="1:4">
      <c r="A358" s="3" t="s">
        <v>191</v>
      </c>
      <c r="B358">
        <v>1</v>
      </c>
    </row>
    <row r="359" spans="1:4">
      <c r="A359" s="3" t="s">
        <v>192</v>
      </c>
      <c r="B359">
        <v>3</v>
      </c>
    </row>
    <row r="360" spans="1:4">
      <c r="A360" s="6" t="s">
        <v>193</v>
      </c>
      <c r="B360">
        <v>25</v>
      </c>
    </row>
    <row r="361" spans="1:4">
      <c r="A361" s="1"/>
    </row>
    <row r="362" spans="1:4">
      <c r="A362" s="4" t="s">
        <v>19</v>
      </c>
      <c r="B362">
        <v>-5.1165328658483844</v>
      </c>
    </row>
    <row r="363" spans="1:4">
      <c r="A363" t="s">
        <v>20</v>
      </c>
      <c r="B363">
        <v>113.94394202187293</v>
      </c>
    </row>
    <row r="364" spans="1:4">
      <c r="A364" t="s">
        <v>23</v>
      </c>
      <c r="B364">
        <v>10.674452773883678</v>
      </c>
    </row>
    <row r="365" spans="1:4">
      <c r="A365" t="s">
        <v>24</v>
      </c>
      <c r="B365">
        <v>5.3372263869418388</v>
      </c>
    </row>
    <row r="366" spans="1:4">
      <c r="A366" t="s">
        <v>21</v>
      </c>
      <c r="B366">
        <v>-0.95865014801819026</v>
      </c>
    </row>
    <row r="367" spans="1:4">
      <c r="A367" s="4" t="s">
        <v>22</v>
      </c>
      <c r="B367">
        <f>TDIST(ABS(B366),3,1)</f>
        <v>0.20422805171730862</v>
      </c>
    </row>
    <row r="369" spans="1:7">
      <c r="A369" s="2" t="s">
        <v>1841</v>
      </c>
    </row>
    <row r="370" spans="1:7">
      <c r="A370" s="3" t="s">
        <v>7</v>
      </c>
      <c r="B370" s="3" t="s">
        <v>8</v>
      </c>
      <c r="C370" s="3" t="s">
        <v>9</v>
      </c>
      <c r="D370" s="3" t="s">
        <v>10</v>
      </c>
      <c r="E370" s="3" t="s">
        <v>11</v>
      </c>
      <c r="F370" s="3" t="s">
        <v>12</v>
      </c>
      <c r="G370" s="3" t="s">
        <v>13</v>
      </c>
    </row>
    <row r="371" spans="1:7">
      <c r="A371" t="s">
        <v>1291</v>
      </c>
      <c r="B371">
        <v>355.67511021445114</v>
      </c>
      <c r="C371">
        <v>324.40403047431801</v>
      </c>
      <c r="D371">
        <v>320.36613272311212</v>
      </c>
    </row>
    <row r="372" spans="1:7">
      <c r="A372" s="1" t="s">
        <v>1292</v>
      </c>
      <c r="B372">
        <v>341.32098268223922</v>
      </c>
      <c r="C372">
        <v>307.02315466291418</v>
      </c>
      <c r="D372">
        <v>314.25628197742282</v>
      </c>
    </row>
    <row r="373" spans="1:7">
      <c r="A373" t="s">
        <v>1295</v>
      </c>
      <c r="B373">
        <v>335.66433566433568</v>
      </c>
      <c r="C373">
        <v>307.3545554335895</v>
      </c>
      <c r="D373">
        <v>308.48329048843192</v>
      </c>
    </row>
    <row r="374" spans="1:7">
      <c r="A374" t="s">
        <v>1296</v>
      </c>
      <c r="B374">
        <v>340.37471075613945</v>
      </c>
      <c r="C374">
        <v>304.80060960121921</v>
      </c>
      <c r="D374">
        <v>303.56691120667847</v>
      </c>
    </row>
    <row r="376" spans="1:7">
      <c r="A376" s="3" t="s">
        <v>18</v>
      </c>
      <c r="B376">
        <v>4</v>
      </c>
    </row>
    <row r="377" spans="1:7">
      <c r="A377" s="4" t="s">
        <v>191</v>
      </c>
      <c r="B377">
        <v>2</v>
      </c>
    </row>
    <row r="378" spans="1:7">
      <c r="A378" s="3" t="s">
        <v>192</v>
      </c>
      <c r="B378">
        <v>2</v>
      </c>
    </row>
    <row r="379" spans="1:7">
      <c r="A379" s="6" t="s">
        <v>193</v>
      </c>
      <c r="B379">
        <v>50</v>
      </c>
    </row>
    <row r="381" spans="1:7">
      <c r="A381" s="3" t="s">
        <v>19</v>
      </c>
      <c r="B381">
        <v>-0.77256655590110768</v>
      </c>
    </row>
    <row r="382" spans="1:7">
      <c r="A382" s="1" t="s">
        <v>20</v>
      </c>
      <c r="B382">
        <v>23.010455738873137</v>
      </c>
    </row>
    <row r="383" spans="1:7">
      <c r="A383" t="s">
        <v>23</v>
      </c>
      <c r="B383">
        <v>4.7969214855856395</v>
      </c>
    </row>
    <row r="384" spans="1:7">
      <c r="A384" t="s">
        <v>24</v>
      </c>
      <c r="B384">
        <v>2.3984607427928197</v>
      </c>
    </row>
    <row r="385" spans="1:7">
      <c r="A385" t="s">
        <v>21</v>
      </c>
      <c r="B385">
        <v>-0.32210931874645338</v>
      </c>
    </row>
    <row r="386" spans="1:7">
      <c r="A386" s="3" t="s">
        <v>22</v>
      </c>
      <c r="B386">
        <f>TDIST(ABS(B385),3,1)</f>
        <v>0.38425533721880872</v>
      </c>
    </row>
    <row r="387" spans="1:7">
      <c r="A387" s="1"/>
    </row>
    <row r="388" spans="1:7">
      <c r="A388" s="5" t="s">
        <v>1842</v>
      </c>
    </row>
    <row r="389" spans="1:7">
      <c r="A389" s="3" t="s">
        <v>7</v>
      </c>
      <c r="B389" s="3" t="s">
        <v>8</v>
      </c>
      <c r="C389" s="3" t="s">
        <v>9</v>
      </c>
      <c r="D389" s="3" t="s">
        <v>10</v>
      </c>
      <c r="E389" s="3" t="s">
        <v>11</v>
      </c>
      <c r="F389" s="3" t="s">
        <v>12</v>
      </c>
      <c r="G389" s="3" t="s">
        <v>13</v>
      </c>
    </row>
    <row r="390" spans="1:7">
      <c r="A390" t="s">
        <v>1297</v>
      </c>
      <c r="B390">
        <v>334.7827179732073</v>
      </c>
      <c r="C390">
        <v>312.46125232486054</v>
      </c>
      <c r="D390">
        <v>318.68662481892807</v>
      </c>
    </row>
    <row r="391" spans="1:7">
      <c r="A391" t="s">
        <v>1298</v>
      </c>
      <c r="B391">
        <v>334.6696879902388</v>
      </c>
      <c r="C391">
        <v>309.35808197989172</v>
      </c>
      <c r="D391">
        <v>314.88191928026993</v>
      </c>
    </row>
    <row r="392" spans="1:7">
      <c r="A392" t="s">
        <v>1301</v>
      </c>
      <c r="B392">
        <v>337.07019787826351</v>
      </c>
      <c r="C392">
        <v>319.63470319634706</v>
      </c>
      <c r="D392">
        <v>309.2783505154639</v>
      </c>
    </row>
    <row r="393" spans="1:7">
      <c r="A393" s="1" t="s">
        <v>1303</v>
      </c>
      <c r="B393">
        <v>356.74389801706548</v>
      </c>
      <c r="C393">
        <v>331.0344827586207</v>
      </c>
      <c r="D393">
        <v>328.35820895522386</v>
      </c>
    </row>
    <row r="395" spans="1:7">
      <c r="A395" s="3" t="s">
        <v>18</v>
      </c>
      <c r="B395">
        <v>4</v>
      </c>
    </row>
    <row r="396" spans="1:7">
      <c r="A396" s="3" t="s">
        <v>191</v>
      </c>
      <c r="B396">
        <v>2</v>
      </c>
    </row>
    <row r="397" spans="1:7">
      <c r="A397" s="3" t="s">
        <v>192</v>
      </c>
      <c r="B397">
        <v>2</v>
      </c>
    </row>
    <row r="398" spans="1:7">
      <c r="A398" s="6" t="s">
        <v>193</v>
      </c>
      <c r="B398">
        <v>50</v>
      </c>
    </row>
    <row r="400" spans="1:7">
      <c r="A400" s="3" t="s">
        <v>19</v>
      </c>
      <c r="B400">
        <v>0.32085417245856718</v>
      </c>
    </row>
    <row r="401" spans="1:7">
      <c r="A401" t="s">
        <v>20</v>
      </c>
      <c r="B401">
        <v>61.090911310863298</v>
      </c>
    </row>
    <row r="402" spans="1:7">
      <c r="A402" t="s">
        <v>23</v>
      </c>
      <c r="B402">
        <v>7.8160675093593772</v>
      </c>
    </row>
    <row r="403" spans="1:7">
      <c r="A403" s="1" t="s">
        <v>24</v>
      </c>
      <c r="B403">
        <v>3.9080337546796886</v>
      </c>
    </row>
    <row r="404" spans="1:7">
      <c r="A404" t="s">
        <v>21</v>
      </c>
      <c r="B404">
        <v>8.2101177369402006E-2</v>
      </c>
    </row>
    <row r="405" spans="1:7">
      <c r="A405" s="3" t="s">
        <v>22</v>
      </c>
      <c r="B405">
        <f>TDIST(ABS(B404),3,1)</f>
        <v>0.46986860957543353</v>
      </c>
    </row>
    <row r="407" spans="1:7">
      <c r="A407" s="2" t="s">
        <v>1843</v>
      </c>
    </row>
    <row r="408" spans="1:7">
      <c r="A408" s="4" t="s">
        <v>7</v>
      </c>
      <c r="B408" s="3" t="s">
        <v>8</v>
      </c>
      <c r="C408" s="3" t="s">
        <v>9</v>
      </c>
      <c r="D408" s="3" t="s">
        <v>10</v>
      </c>
      <c r="E408" s="3" t="s">
        <v>11</v>
      </c>
      <c r="F408" s="3" t="s">
        <v>12</v>
      </c>
      <c r="G408" s="3" t="s">
        <v>13</v>
      </c>
    </row>
    <row r="409" spans="1:7">
      <c r="A409" t="s">
        <v>1299</v>
      </c>
      <c r="B409">
        <v>328.12171314778499</v>
      </c>
      <c r="C409">
        <v>309.43785456420835</v>
      </c>
      <c r="D409">
        <v>312.61630070710828</v>
      </c>
    </row>
    <row r="410" spans="1:7">
      <c r="A410" t="s">
        <v>1300</v>
      </c>
      <c r="B410">
        <v>382.28064014448404</v>
      </c>
      <c r="C410">
        <v>355.29237601776464</v>
      </c>
      <c r="D410">
        <v>325.62346556402633</v>
      </c>
    </row>
    <row r="411" spans="1:7">
      <c r="A411" t="s">
        <v>1302</v>
      </c>
      <c r="B411">
        <v>332.01226351603981</v>
      </c>
      <c r="C411">
        <v>326.97547683923705</v>
      </c>
      <c r="D411">
        <v>315.15757878939468</v>
      </c>
    </row>
    <row r="412" spans="1:7">
      <c r="A412" t="s">
        <v>1304</v>
      </c>
      <c r="B412">
        <v>340.59226885690606</v>
      </c>
      <c r="C412">
        <v>305.30466861722425</v>
      </c>
      <c r="D412">
        <v>312.11295516472626</v>
      </c>
    </row>
    <row r="413" spans="1:7">
      <c r="A413" s="1"/>
    </row>
    <row r="414" spans="1:7">
      <c r="A414" s="3" t="s">
        <v>18</v>
      </c>
      <c r="B414">
        <v>4</v>
      </c>
    </row>
    <row r="415" spans="1:7">
      <c r="A415" s="3" t="s">
        <v>191</v>
      </c>
      <c r="B415">
        <v>2</v>
      </c>
    </row>
    <row r="416" spans="1:7">
      <c r="A416" s="3" t="s">
        <v>192</v>
      </c>
      <c r="B416">
        <v>2</v>
      </c>
    </row>
    <row r="417" spans="1:7">
      <c r="A417" s="6" t="s">
        <v>193</v>
      </c>
      <c r="B417">
        <v>50</v>
      </c>
    </row>
    <row r="418" spans="1:7">
      <c r="A418" s="1"/>
    </row>
    <row r="419" spans="1:7">
      <c r="A419" s="3" t="s">
        <v>19</v>
      </c>
      <c r="B419">
        <v>7.8750189532946848</v>
      </c>
    </row>
    <row r="420" spans="1:7">
      <c r="A420" t="s">
        <v>20</v>
      </c>
      <c r="B420">
        <v>276.09951778854014</v>
      </c>
    </row>
    <row r="421" spans="1:7">
      <c r="A421" t="s">
        <v>23</v>
      </c>
      <c r="B421">
        <v>16.616242589362379</v>
      </c>
    </row>
    <row r="422" spans="1:7">
      <c r="A422" t="s">
        <v>24</v>
      </c>
      <c r="B422">
        <v>8.3081212946811895</v>
      </c>
    </row>
    <row r="423" spans="1:7">
      <c r="A423" s="1" t="s">
        <v>21</v>
      </c>
      <c r="B423">
        <v>0.94787000261253118</v>
      </c>
    </row>
    <row r="424" spans="1:7">
      <c r="A424" s="4" t="s">
        <v>22</v>
      </c>
      <c r="B424">
        <f>TDIST(ABS(B423),3,1)</f>
        <v>0.20656216397802601</v>
      </c>
    </row>
    <row r="426" spans="1:7">
      <c r="A426" s="2" t="s">
        <v>1844</v>
      </c>
    </row>
    <row r="427" spans="1:7">
      <c r="A427" s="3" t="s">
        <v>7</v>
      </c>
      <c r="B427" s="3" t="s">
        <v>8</v>
      </c>
      <c r="C427" s="3" t="s">
        <v>9</v>
      </c>
      <c r="D427" s="3" t="s">
        <v>10</v>
      </c>
      <c r="E427" s="3" t="s">
        <v>11</v>
      </c>
      <c r="F427" s="3" t="s">
        <v>12</v>
      </c>
      <c r="G427" s="3" t="s">
        <v>13</v>
      </c>
    </row>
    <row r="428" spans="1:7">
      <c r="A428" t="s">
        <v>1305</v>
      </c>
      <c r="B428">
        <v>356.38523546881635</v>
      </c>
      <c r="C428">
        <v>325.98018709775374</v>
      </c>
      <c r="D428">
        <v>336.10540628489571</v>
      </c>
    </row>
    <row r="429" spans="1:7">
      <c r="A429" s="1" t="s">
        <v>1306</v>
      </c>
      <c r="B429">
        <v>344.18256640478864</v>
      </c>
      <c r="C429">
        <v>320</v>
      </c>
      <c r="D429">
        <v>328.35820895522386</v>
      </c>
    </row>
    <row r="430" spans="1:7">
      <c r="A430" t="s">
        <v>1309</v>
      </c>
      <c r="B430">
        <v>330.31379810820277</v>
      </c>
      <c r="C430">
        <v>324.49137265001286</v>
      </c>
      <c r="D430">
        <v>322.89628180039136</v>
      </c>
    </row>
    <row r="431" spans="1:7">
      <c r="A431" t="s">
        <v>1311</v>
      </c>
      <c r="B431">
        <v>355.43953009689238</v>
      </c>
      <c r="C431">
        <v>317.66040589940752</v>
      </c>
      <c r="D431">
        <v>326.97547683923705</v>
      </c>
    </row>
    <row r="433" spans="1:7">
      <c r="A433" s="3" t="s">
        <v>18</v>
      </c>
      <c r="B433">
        <v>4</v>
      </c>
    </row>
    <row r="434" spans="1:7">
      <c r="A434" s="4" t="s">
        <v>191</v>
      </c>
      <c r="B434">
        <v>1</v>
      </c>
    </row>
    <row r="435" spans="1:7">
      <c r="A435" s="4" t="s">
        <v>192</v>
      </c>
      <c r="B435">
        <v>3</v>
      </c>
    </row>
    <row r="436" spans="1:7">
      <c r="A436" s="6" t="s">
        <v>193</v>
      </c>
      <c r="B436">
        <v>25</v>
      </c>
    </row>
    <row r="438" spans="1:7">
      <c r="A438" s="3" t="s">
        <v>19</v>
      </c>
      <c r="B438">
        <v>-6.5508520581434624</v>
      </c>
    </row>
    <row r="439" spans="1:7">
      <c r="A439" t="s">
        <v>20</v>
      </c>
      <c r="B439">
        <v>30.013310402908363</v>
      </c>
    </row>
    <row r="440" spans="1:7">
      <c r="A440" s="1" t="s">
        <v>23</v>
      </c>
      <c r="B440">
        <v>5.4784405082932466</v>
      </c>
    </row>
    <row r="441" spans="1:7">
      <c r="A441" s="1" t="s">
        <v>24</v>
      </c>
      <c r="B441">
        <v>2.7392202541466233</v>
      </c>
    </row>
    <row r="442" spans="1:7">
      <c r="A442" t="s">
        <v>21</v>
      </c>
      <c r="B442">
        <v>-2.391502489888063</v>
      </c>
    </row>
    <row r="443" spans="1:7">
      <c r="A443" s="3" t="s">
        <v>22</v>
      </c>
      <c r="B443">
        <f>TDIST(ABS(B442),3,1)</f>
        <v>4.830525988241826E-2</v>
      </c>
    </row>
    <row r="445" spans="1:7">
      <c r="A445" s="2" t="s">
        <v>1845</v>
      </c>
    </row>
    <row r="446" spans="1:7">
      <c r="A446" s="4" t="s">
        <v>7</v>
      </c>
      <c r="B446" s="3" t="s">
        <v>8</v>
      </c>
      <c r="C446" s="3" t="s">
        <v>9</v>
      </c>
      <c r="D446" s="3" t="s">
        <v>10</v>
      </c>
      <c r="E446" s="3" t="s">
        <v>11</v>
      </c>
      <c r="F446" s="3" t="s">
        <v>12</v>
      </c>
      <c r="G446" s="3" t="s">
        <v>13</v>
      </c>
    </row>
    <row r="447" spans="1:7">
      <c r="A447" t="s">
        <v>1307</v>
      </c>
      <c r="B447">
        <v>340.96909653247502</v>
      </c>
      <c r="C447">
        <v>314.37125748502996</v>
      </c>
      <c r="D447">
        <v>318.98734177215192</v>
      </c>
    </row>
    <row r="448" spans="1:7">
      <c r="A448" t="s">
        <v>1308</v>
      </c>
      <c r="B448">
        <v>330.18985916902221</v>
      </c>
      <c r="C448">
        <v>308.25688073394491</v>
      </c>
      <c r="D448">
        <v>312.81032770605759</v>
      </c>
    </row>
    <row r="449" spans="1:4">
      <c r="A449" t="s">
        <v>1310</v>
      </c>
      <c r="B449">
        <v>349.67995815795371</v>
      </c>
      <c r="C449">
        <v>315.31531531531527</v>
      </c>
      <c r="D449">
        <v>312.66284523189159</v>
      </c>
    </row>
    <row r="450" spans="1:4">
      <c r="A450" t="s">
        <v>1312</v>
      </c>
      <c r="B450">
        <v>345.6827233786729</v>
      </c>
      <c r="C450">
        <v>338.69186403239661</v>
      </c>
      <c r="D450">
        <v>330.28900287751782</v>
      </c>
    </row>
    <row r="451" spans="1:4">
      <c r="A451" s="1"/>
    </row>
    <row r="452" spans="1:4">
      <c r="A452" s="4" t="s">
        <v>18</v>
      </c>
      <c r="B452">
        <v>4</v>
      </c>
    </row>
    <row r="453" spans="1:4">
      <c r="A453" s="3" t="s">
        <v>191</v>
      </c>
      <c r="B453">
        <v>2</v>
      </c>
    </row>
    <row r="454" spans="1:4">
      <c r="A454" s="3" t="s">
        <v>192</v>
      </c>
      <c r="B454">
        <v>2</v>
      </c>
    </row>
    <row r="455" spans="1:4">
      <c r="A455" s="6" t="s">
        <v>193</v>
      </c>
      <c r="B455">
        <v>50</v>
      </c>
    </row>
    <row r="457" spans="1:4">
      <c r="A457" s="4" t="s">
        <v>19</v>
      </c>
      <c r="B457">
        <v>0.4714499947669567</v>
      </c>
    </row>
    <row r="458" spans="1:4">
      <c r="A458" s="1" t="s">
        <v>20</v>
      </c>
      <c r="B458">
        <v>39.598908738340647</v>
      </c>
    </row>
    <row r="459" spans="1:4">
      <c r="A459" t="s">
        <v>23</v>
      </c>
      <c r="B459">
        <v>6.2927663819929505</v>
      </c>
    </row>
    <row r="460" spans="1:4">
      <c r="A460" t="s">
        <v>24</v>
      </c>
      <c r="B460">
        <v>3.1463831909964752</v>
      </c>
    </row>
    <row r="461" spans="1:4">
      <c r="A461" t="s">
        <v>21</v>
      </c>
      <c r="B461">
        <v>0.14983870881208405</v>
      </c>
    </row>
    <row r="462" spans="1:4">
      <c r="A462" s="3" t="s">
        <v>22</v>
      </c>
      <c r="B462">
        <f>TDIST(ABS(B461),3,1)</f>
        <v>0.44519933195958949</v>
      </c>
    </row>
    <row r="463" spans="1:4">
      <c r="A463" s="1"/>
    </row>
    <row r="464" spans="1:4">
      <c r="A464" s="5" t="s">
        <v>1846</v>
      </c>
    </row>
    <row r="465" spans="1:7">
      <c r="A465" s="3" t="s">
        <v>7</v>
      </c>
      <c r="B465" s="3" t="s">
        <v>8</v>
      </c>
      <c r="C465" s="3" t="s">
        <v>9</v>
      </c>
      <c r="D465" s="3" t="s">
        <v>10</v>
      </c>
      <c r="E465" s="3" t="s">
        <v>11</v>
      </c>
      <c r="F465" s="3" t="s">
        <v>12</v>
      </c>
      <c r="G465" s="3" t="s">
        <v>13</v>
      </c>
    </row>
    <row r="466" spans="1:7">
      <c r="A466" t="s">
        <v>1313</v>
      </c>
      <c r="B466" t="e">
        <f>NA()</f>
        <v>#N/A</v>
      </c>
      <c r="C466">
        <v>422.58835366620548</v>
      </c>
      <c r="D466">
        <v>349.41131788834031</v>
      </c>
      <c r="E466" t="s">
        <v>14</v>
      </c>
    </row>
    <row r="467" spans="1:7">
      <c r="A467" t="s">
        <v>1316</v>
      </c>
      <c r="B467">
        <v>312.09362808842656</v>
      </c>
      <c r="C467">
        <v>323.03550826817076</v>
      </c>
      <c r="D467">
        <v>293.57798165137615</v>
      </c>
    </row>
    <row r="468" spans="1:7">
      <c r="A468" t="s">
        <v>1317</v>
      </c>
      <c r="B468">
        <v>365.01671736343297</v>
      </c>
      <c r="C468">
        <v>335.06790201802261</v>
      </c>
      <c r="D468">
        <v>311.00168459245822</v>
      </c>
    </row>
    <row r="469" spans="1:7">
      <c r="A469" s="1" t="s">
        <v>1320</v>
      </c>
      <c r="B469">
        <v>297.02970297029702</v>
      </c>
      <c r="C469">
        <v>301.28044187798139</v>
      </c>
      <c r="D469">
        <v>285.2139104328246</v>
      </c>
    </row>
    <row r="470" spans="1:7">
      <c r="A470" s="1" t="s">
        <v>588</v>
      </c>
      <c r="B470" t="e">
        <f>NA()</f>
        <v>#N/A</v>
      </c>
      <c r="C470">
        <v>349.23446792357328</v>
      </c>
      <c r="D470">
        <v>331.49171270718227</v>
      </c>
      <c r="E470" t="s">
        <v>14</v>
      </c>
    </row>
    <row r="471" spans="1:7">
      <c r="A471" t="s">
        <v>590</v>
      </c>
      <c r="B471">
        <v>294.48590173786749</v>
      </c>
      <c r="C471">
        <v>301.39394700489765</v>
      </c>
      <c r="D471" t="e">
        <f>NA()</f>
        <v>#N/A</v>
      </c>
      <c r="G471" t="s">
        <v>29</v>
      </c>
    </row>
    <row r="472" spans="1:7">
      <c r="A472" t="s">
        <v>600</v>
      </c>
      <c r="B472">
        <v>304.1069343337723</v>
      </c>
      <c r="C472">
        <v>317.34038534189648</v>
      </c>
      <c r="D472">
        <v>297.92238337906701</v>
      </c>
    </row>
    <row r="473" spans="1:7">
      <c r="A473" t="s">
        <v>601</v>
      </c>
      <c r="B473">
        <v>347.55686499712868</v>
      </c>
      <c r="C473">
        <v>328.88999626261369</v>
      </c>
      <c r="D473">
        <v>311.1879476413929</v>
      </c>
    </row>
    <row r="474" spans="1:7">
      <c r="A474" t="s">
        <v>612</v>
      </c>
      <c r="B474" t="e">
        <f>NA()</f>
        <v>#N/A</v>
      </c>
      <c r="C474">
        <v>367.96271311173803</v>
      </c>
      <c r="D474">
        <v>327.8281385818949</v>
      </c>
      <c r="E474" t="s">
        <v>14</v>
      </c>
    </row>
    <row r="475" spans="1:7">
      <c r="A475" s="1" t="s">
        <v>1321</v>
      </c>
      <c r="B475">
        <v>304.35140424249357</v>
      </c>
      <c r="C475">
        <v>323.01480484522205</v>
      </c>
      <c r="D475">
        <v>277.2710689529369</v>
      </c>
    </row>
    <row r="476" spans="1:7">
      <c r="A476" s="1" t="s">
        <v>1324</v>
      </c>
      <c r="B476">
        <v>321.87711513875308</v>
      </c>
      <c r="C476">
        <v>332.61937759858887</v>
      </c>
      <c r="D476">
        <v>295.82152101565384</v>
      </c>
    </row>
    <row r="477" spans="1:7">
      <c r="A477" s="1" t="s">
        <v>1325</v>
      </c>
      <c r="B477">
        <v>310.88857335027274</v>
      </c>
      <c r="C477">
        <v>313.47962382445144</v>
      </c>
      <c r="D477">
        <v>298.80478087649402</v>
      </c>
    </row>
    <row r="478" spans="1:7">
      <c r="A478" s="1" t="s">
        <v>1328</v>
      </c>
      <c r="B478">
        <v>301.30313606347454</v>
      </c>
      <c r="C478">
        <v>299.66287926083152</v>
      </c>
      <c r="D478">
        <v>289.59735805918962</v>
      </c>
    </row>
    <row r="479" spans="1:7">
      <c r="A479" t="s">
        <v>1330</v>
      </c>
      <c r="B479">
        <v>360.35260528784556</v>
      </c>
      <c r="C479">
        <v>308.3247687564234</v>
      </c>
      <c r="D479">
        <v>297.36092181885761</v>
      </c>
    </row>
    <row r="480" spans="1:7">
      <c r="A480" t="s">
        <v>1332</v>
      </c>
      <c r="B480">
        <v>340.99406750087246</v>
      </c>
      <c r="C480">
        <v>308.84056106035257</v>
      </c>
      <c r="D480">
        <v>292.7900451384653</v>
      </c>
    </row>
    <row r="481" spans="1:5">
      <c r="A481" t="s">
        <v>1334</v>
      </c>
      <c r="B481">
        <v>388.78842676311035</v>
      </c>
      <c r="C481">
        <v>311.99702859972763</v>
      </c>
      <c r="D481">
        <v>293.36266960029337</v>
      </c>
    </row>
    <row r="482" spans="1:5">
      <c r="A482" t="s">
        <v>1336</v>
      </c>
      <c r="B482">
        <v>293.66228836837638</v>
      </c>
      <c r="C482">
        <v>294.30747386084937</v>
      </c>
      <c r="D482">
        <v>288.42504743833018</v>
      </c>
    </row>
    <row r="483" spans="1:5">
      <c r="A483" s="1" t="s">
        <v>1337</v>
      </c>
      <c r="B483">
        <v>297.30473735578965</v>
      </c>
      <c r="C483">
        <v>289.11995942176003</v>
      </c>
      <c r="D483">
        <v>286.36021100226071</v>
      </c>
    </row>
    <row r="484" spans="1:5">
      <c r="A484" s="1" t="s">
        <v>1340</v>
      </c>
      <c r="B484">
        <v>303.26535718753911</v>
      </c>
      <c r="C484">
        <v>309.2783505154639</v>
      </c>
      <c r="D484">
        <v>295.78506285432582</v>
      </c>
    </row>
    <row r="485" spans="1:5">
      <c r="A485" s="1" t="s">
        <v>1342</v>
      </c>
      <c r="B485">
        <v>293.95590661400792</v>
      </c>
      <c r="C485">
        <v>309.46825494289573</v>
      </c>
      <c r="D485">
        <v>299.62546816479397</v>
      </c>
    </row>
    <row r="486" spans="1:5">
      <c r="A486" t="s">
        <v>1344</v>
      </c>
      <c r="B486" t="e">
        <f>NA()</f>
        <v>#N/A</v>
      </c>
      <c r="C486">
        <v>422.48391404637607</v>
      </c>
      <c r="D486">
        <v>391.81213110636691</v>
      </c>
      <c r="E486" t="s">
        <v>14</v>
      </c>
    </row>
    <row r="487" spans="1:5">
      <c r="A487" t="s">
        <v>1346</v>
      </c>
      <c r="B487">
        <v>423.63545317976968</v>
      </c>
      <c r="C487">
        <v>373.78519810615501</v>
      </c>
      <c r="D487">
        <v>339.63720571208029</v>
      </c>
    </row>
    <row r="488" spans="1:5">
      <c r="A488" t="s">
        <v>1348</v>
      </c>
      <c r="B488">
        <v>331.95434381697657</v>
      </c>
      <c r="C488">
        <v>323.21253672869739</v>
      </c>
      <c r="D488">
        <v>292.87090558766857</v>
      </c>
    </row>
    <row r="489" spans="1:5">
      <c r="A489" t="s">
        <v>1350</v>
      </c>
      <c r="B489">
        <v>315.15757878939468</v>
      </c>
      <c r="C489">
        <v>283.65264991291366</v>
      </c>
      <c r="D489">
        <v>280.85735402808575</v>
      </c>
    </row>
    <row r="490" spans="1:5">
      <c r="A490" s="1" t="s">
        <v>1352</v>
      </c>
      <c r="B490">
        <v>346.72644673818127</v>
      </c>
      <c r="C490">
        <v>327.99105478941487</v>
      </c>
      <c r="D490">
        <v>305.75103130308179</v>
      </c>
    </row>
    <row r="491" spans="1:5">
      <c r="A491" s="1" t="s">
        <v>1353</v>
      </c>
      <c r="B491" t="e">
        <f>NA()</f>
        <v>#N/A</v>
      </c>
      <c r="C491">
        <v>323.48976841073397</v>
      </c>
      <c r="D491">
        <v>292.75433032446938</v>
      </c>
      <c r="E491" t="s">
        <v>17</v>
      </c>
    </row>
    <row r="492" spans="1:5">
      <c r="A492" s="1" t="s">
        <v>1356</v>
      </c>
      <c r="B492">
        <v>356.93753593121204</v>
      </c>
      <c r="C492">
        <v>338.24471492632927</v>
      </c>
      <c r="D492">
        <v>320.12195121951214</v>
      </c>
    </row>
    <row r="493" spans="1:5">
      <c r="A493" s="1" t="s">
        <v>1357</v>
      </c>
      <c r="B493">
        <v>322.44420670265964</v>
      </c>
      <c r="C493">
        <v>326.00642133860208</v>
      </c>
      <c r="D493">
        <v>283.15946348733229</v>
      </c>
    </row>
    <row r="494" spans="1:5">
      <c r="A494" t="s">
        <v>1360</v>
      </c>
      <c r="B494">
        <v>332.48075986231703</v>
      </c>
      <c r="C494">
        <v>291.89604404045576</v>
      </c>
      <c r="D494">
        <v>299.10269192422732</v>
      </c>
    </row>
    <row r="495" spans="1:5">
      <c r="A495" t="s">
        <v>1361</v>
      </c>
      <c r="B495">
        <v>351.96918297054333</v>
      </c>
      <c r="C495">
        <v>316.94126524965412</v>
      </c>
      <c r="D495">
        <v>298.84198729921553</v>
      </c>
    </row>
    <row r="496" spans="1:5">
      <c r="A496" t="s">
        <v>1364</v>
      </c>
      <c r="B496">
        <v>364.68484475630487</v>
      </c>
      <c r="C496">
        <v>312.88800595977153</v>
      </c>
      <c r="D496">
        <v>318.54379977246873</v>
      </c>
    </row>
    <row r="497" spans="1:7">
      <c r="A497" t="s">
        <v>1365</v>
      </c>
      <c r="B497">
        <v>342.93449650297055</v>
      </c>
      <c r="C497">
        <v>304.10542321338062</v>
      </c>
      <c r="D497">
        <v>307.52474225806759</v>
      </c>
    </row>
    <row r="498" spans="1:7">
      <c r="A498" s="1"/>
    </row>
    <row r="499" spans="1:7">
      <c r="A499" s="4" t="s">
        <v>18</v>
      </c>
      <c r="B499">
        <v>31</v>
      </c>
    </row>
    <row r="500" spans="1:7">
      <c r="A500" s="4" t="s">
        <v>191</v>
      </c>
      <c r="B500">
        <v>28</v>
      </c>
    </row>
    <row r="501" spans="1:7">
      <c r="A501" s="4" t="s">
        <v>192</v>
      </c>
      <c r="B501">
        <v>3</v>
      </c>
    </row>
    <row r="502" spans="1:7">
      <c r="A502" s="6" t="s">
        <v>193</v>
      </c>
      <c r="B502">
        <v>90.322580645161295</v>
      </c>
    </row>
    <row r="504" spans="1:7">
      <c r="A504" s="3" t="s">
        <v>19</v>
      </c>
      <c r="B504">
        <v>20.528807163243179</v>
      </c>
    </row>
    <row r="505" spans="1:7">
      <c r="A505" t="s">
        <v>20</v>
      </c>
      <c r="B505">
        <v>282.76951289909732</v>
      </c>
    </row>
    <row r="506" spans="1:7">
      <c r="A506" s="1" t="s">
        <v>23</v>
      </c>
      <c r="B506">
        <v>16.81575192785316</v>
      </c>
    </row>
    <row r="507" spans="1:7">
      <c r="A507" s="1" t="s">
        <v>24</v>
      </c>
      <c r="B507">
        <v>3.0201982038093895</v>
      </c>
    </row>
    <row r="508" spans="1:7">
      <c r="A508" s="1" t="s">
        <v>21</v>
      </c>
      <c r="B508">
        <v>6.7971721648433876</v>
      </c>
    </row>
    <row r="509" spans="1:7">
      <c r="A509" s="4" t="s">
        <v>22</v>
      </c>
      <c r="B509">
        <f>TDIST(ABS(B508),30,1)</f>
        <v>7.6969161734556006E-8</v>
      </c>
    </row>
    <row r="511" spans="1:7">
      <c r="A511" s="2" t="s">
        <v>1847</v>
      </c>
    </row>
    <row r="512" spans="1:7">
      <c r="A512" s="3" t="s">
        <v>7</v>
      </c>
      <c r="B512" s="3" t="s">
        <v>8</v>
      </c>
      <c r="C512" s="3" t="s">
        <v>9</v>
      </c>
      <c r="D512" s="3" t="s">
        <v>10</v>
      </c>
      <c r="E512" s="3" t="s">
        <v>11</v>
      </c>
      <c r="F512" s="3" t="s">
        <v>12</v>
      </c>
      <c r="G512" s="3" t="s">
        <v>13</v>
      </c>
    </row>
    <row r="513" spans="1:7">
      <c r="A513" t="s">
        <v>1314</v>
      </c>
      <c r="B513">
        <v>366.64162283996995</v>
      </c>
      <c r="C513">
        <v>337.55274261603375</v>
      </c>
      <c r="D513">
        <v>287.44326777609677</v>
      </c>
    </row>
    <row r="514" spans="1:7">
      <c r="A514" s="1" t="s">
        <v>1315</v>
      </c>
      <c r="B514">
        <v>286.81688036848004</v>
      </c>
      <c r="C514">
        <v>310.00123016361175</v>
      </c>
      <c r="D514">
        <v>287.40703390898773</v>
      </c>
    </row>
    <row r="515" spans="1:7">
      <c r="A515" s="1" t="s">
        <v>1318</v>
      </c>
      <c r="B515">
        <v>378.92517075347445</v>
      </c>
      <c r="C515">
        <v>325.0831178426302</v>
      </c>
      <c r="D515">
        <v>319.18752266956835</v>
      </c>
    </row>
    <row r="516" spans="1:7">
      <c r="A516" s="1" t="s">
        <v>1319</v>
      </c>
      <c r="B516">
        <v>323.29682939606357</v>
      </c>
      <c r="C516">
        <v>318.74525676701239</v>
      </c>
      <c r="D516">
        <v>293.29096908224369</v>
      </c>
    </row>
    <row r="517" spans="1:7">
      <c r="A517" s="1" t="s">
        <v>827</v>
      </c>
      <c r="B517">
        <v>349.47653837463281</v>
      </c>
      <c r="C517">
        <v>320.89647268559787</v>
      </c>
      <c r="D517">
        <v>291.22679286494355</v>
      </c>
    </row>
    <row r="518" spans="1:7">
      <c r="A518" t="s">
        <v>829</v>
      </c>
      <c r="B518">
        <v>309.90647644359757</v>
      </c>
      <c r="C518">
        <v>321.46957520091854</v>
      </c>
      <c r="D518">
        <v>305.92734225621416</v>
      </c>
    </row>
    <row r="519" spans="1:7">
      <c r="A519" t="s">
        <v>602</v>
      </c>
      <c r="B519">
        <v>352.83564238014549</v>
      </c>
      <c r="C519">
        <v>319.65128950236107</v>
      </c>
      <c r="D519">
        <v>301.62121402538645</v>
      </c>
    </row>
    <row r="520" spans="1:7">
      <c r="A520" t="s">
        <v>958</v>
      </c>
      <c r="B520">
        <v>350.02867043953029</v>
      </c>
      <c r="C520">
        <v>339.8596231991134</v>
      </c>
      <c r="D520">
        <v>331.49171270718227</v>
      </c>
    </row>
    <row r="521" spans="1:7">
      <c r="A521" t="s">
        <v>1322</v>
      </c>
      <c r="B521">
        <v>388.31054809983698</v>
      </c>
      <c r="C521">
        <v>363.82011116725613</v>
      </c>
      <c r="D521">
        <v>301.09145652992095</v>
      </c>
    </row>
    <row r="522" spans="1:7">
      <c r="A522" s="1" t="s">
        <v>1323</v>
      </c>
      <c r="B522">
        <v>391.6954009231834</v>
      </c>
      <c r="C522">
        <v>309.71738288811463</v>
      </c>
      <c r="D522">
        <v>294.91275497665276</v>
      </c>
    </row>
    <row r="523" spans="1:7">
      <c r="A523" s="1" t="s">
        <v>1326</v>
      </c>
      <c r="B523">
        <v>322.1436098148427</v>
      </c>
      <c r="C523">
        <v>304.90713488277686</v>
      </c>
      <c r="D523">
        <v>289.81822804118474</v>
      </c>
    </row>
    <row r="524" spans="1:7">
      <c r="A524" t="s">
        <v>1327</v>
      </c>
      <c r="B524">
        <v>369.06458630260295</v>
      </c>
      <c r="C524">
        <v>305.46009927453224</v>
      </c>
      <c r="D524">
        <v>288.8635499809958</v>
      </c>
    </row>
    <row r="525" spans="1:7">
      <c r="A525" t="s">
        <v>1329</v>
      </c>
      <c r="B525">
        <v>342.28238296594691</v>
      </c>
      <c r="C525" t="e">
        <f>NA()</f>
        <v>#N/A</v>
      </c>
      <c r="D525" t="e">
        <f>NA()</f>
        <v>#N/A</v>
      </c>
      <c r="F525" t="s">
        <v>114</v>
      </c>
      <c r="G525" t="s">
        <v>35</v>
      </c>
    </row>
    <row r="526" spans="1:7">
      <c r="A526" t="s">
        <v>1331</v>
      </c>
      <c r="B526">
        <v>302.77694887489679</v>
      </c>
      <c r="C526">
        <v>302.03876164107731</v>
      </c>
      <c r="D526">
        <v>277.5748721694668</v>
      </c>
    </row>
    <row r="527" spans="1:7">
      <c r="A527" t="s">
        <v>1333</v>
      </c>
      <c r="B527">
        <v>333.40842532101823</v>
      </c>
      <c r="C527">
        <v>322.74590163934431</v>
      </c>
      <c r="D527">
        <v>285.89341692789969</v>
      </c>
    </row>
    <row r="528" spans="1:7">
      <c r="A528" s="1" t="s">
        <v>1335</v>
      </c>
      <c r="B528">
        <v>318.22275592915042</v>
      </c>
      <c r="C528">
        <v>309.1645196908355</v>
      </c>
      <c r="D528">
        <v>286.0727728983689</v>
      </c>
    </row>
    <row r="529" spans="1:5">
      <c r="A529" s="1" t="s">
        <v>1338</v>
      </c>
      <c r="B529">
        <v>352.37905634083222</v>
      </c>
      <c r="C529">
        <v>329.09498878085265</v>
      </c>
      <c r="D529">
        <v>307.18034045821065</v>
      </c>
    </row>
    <row r="530" spans="1:5">
      <c r="A530" t="s">
        <v>1339</v>
      </c>
      <c r="B530" t="e">
        <f>NA()</f>
        <v>#N/A</v>
      </c>
      <c r="C530">
        <v>323.68808239333009</v>
      </c>
      <c r="D530">
        <v>297.65013054830285</v>
      </c>
      <c r="E530" t="s">
        <v>115</v>
      </c>
    </row>
    <row r="531" spans="1:5">
      <c r="A531" t="s">
        <v>1341</v>
      </c>
      <c r="B531">
        <v>312.04680702105316</v>
      </c>
      <c r="C531">
        <v>313.27697662854303</v>
      </c>
      <c r="D531">
        <v>292.86150091519221</v>
      </c>
    </row>
    <row r="532" spans="1:5">
      <c r="A532" t="s">
        <v>1343</v>
      </c>
      <c r="B532">
        <v>323.68677995521898</v>
      </c>
      <c r="C532">
        <v>316.34446397188049</v>
      </c>
      <c r="D532">
        <v>288.82695718267041</v>
      </c>
    </row>
    <row r="533" spans="1:5">
      <c r="A533" t="s">
        <v>1345</v>
      </c>
      <c r="B533">
        <v>349.07138062206309</v>
      </c>
      <c r="C533">
        <v>405.45613815542487</v>
      </c>
      <c r="D533">
        <v>333.54390397978523</v>
      </c>
    </row>
    <row r="534" spans="1:5">
      <c r="A534" s="1" t="s">
        <v>1347</v>
      </c>
      <c r="B534">
        <v>377.24550898203591</v>
      </c>
      <c r="C534">
        <v>368.91293654697489</v>
      </c>
      <c r="D534">
        <v>322.994104075878</v>
      </c>
    </row>
    <row r="535" spans="1:5">
      <c r="A535" s="1" t="s">
        <v>1349</v>
      </c>
      <c r="B535">
        <v>388.09637225161083</v>
      </c>
      <c r="C535">
        <v>338.65030674846628</v>
      </c>
      <c r="D535">
        <v>304.52988199467075</v>
      </c>
    </row>
    <row r="536" spans="1:5">
      <c r="A536" t="s">
        <v>1351</v>
      </c>
      <c r="B536">
        <v>347.62630172564491</v>
      </c>
      <c r="C536">
        <v>352.98443436695669</v>
      </c>
      <c r="D536">
        <v>312.61630070710828</v>
      </c>
    </row>
    <row r="537" spans="1:5">
      <c r="A537" t="s">
        <v>1354</v>
      </c>
      <c r="B537">
        <v>317.47943809641805</v>
      </c>
      <c r="C537">
        <v>339.56692913385825</v>
      </c>
      <c r="D537">
        <v>301.7349761126477</v>
      </c>
    </row>
    <row r="538" spans="1:5">
      <c r="A538" t="s">
        <v>1355</v>
      </c>
      <c r="B538">
        <v>377.59597230962868</v>
      </c>
      <c r="C538">
        <v>330.57851239669424</v>
      </c>
      <c r="D538">
        <v>317.38035264483625</v>
      </c>
    </row>
    <row r="539" spans="1:5">
      <c r="A539" t="s">
        <v>1358</v>
      </c>
      <c r="B539">
        <v>302.96970302969703</v>
      </c>
      <c r="C539">
        <v>368.18851251840942</v>
      </c>
      <c r="D539">
        <v>285.71428571428572</v>
      </c>
    </row>
    <row r="540" spans="1:5">
      <c r="A540" s="1" t="s">
        <v>1359</v>
      </c>
      <c r="B540">
        <v>377.14027103814141</v>
      </c>
      <c r="C540">
        <v>346.55951783023602</v>
      </c>
      <c r="D540">
        <v>332.24263780518504</v>
      </c>
    </row>
    <row r="541" spans="1:5">
      <c r="A541" t="s">
        <v>1362</v>
      </c>
      <c r="B541">
        <v>328.8497800125707</v>
      </c>
      <c r="C541">
        <v>313.16018391947313</v>
      </c>
      <c r="D541">
        <v>298.39612085042893</v>
      </c>
    </row>
    <row r="542" spans="1:5">
      <c r="A542" t="s">
        <v>1363</v>
      </c>
      <c r="B542">
        <v>345.36230607125435</v>
      </c>
      <c r="C542">
        <v>318.98734177215192</v>
      </c>
      <c r="D542">
        <v>304.41400304414003</v>
      </c>
    </row>
    <row r="543" spans="1:5">
      <c r="A543" t="s">
        <v>1366</v>
      </c>
      <c r="B543">
        <v>300.94043887147336</v>
      </c>
      <c r="C543">
        <v>307.8426581969216</v>
      </c>
      <c r="D543">
        <v>303.75901784584227</v>
      </c>
    </row>
    <row r="544" spans="1:5">
      <c r="A544" t="s">
        <v>1367</v>
      </c>
      <c r="B544">
        <v>297.9534510433387</v>
      </c>
      <c r="C544">
        <v>310.61259706643654</v>
      </c>
      <c r="D544">
        <v>308.0872913992298</v>
      </c>
    </row>
    <row r="545" spans="1:7">
      <c r="A545" s="1"/>
    </row>
    <row r="546" spans="1:7">
      <c r="A546" s="3" t="s">
        <v>18</v>
      </c>
      <c r="B546">
        <v>31</v>
      </c>
    </row>
    <row r="547" spans="1:7">
      <c r="A547" s="3" t="s">
        <v>191</v>
      </c>
      <c r="B547">
        <v>31</v>
      </c>
    </row>
    <row r="548" spans="1:7">
      <c r="A548" s="3" t="s">
        <v>192</v>
      </c>
      <c r="B548">
        <v>0</v>
      </c>
    </row>
    <row r="549" spans="1:7">
      <c r="A549" s="6" t="s">
        <v>193</v>
      </c>
      <c r="B549">
        <v>100</v>
      </c>
    </row>
    <row r="550" spans="1:7">
      <c r="A550" s="1"/>
    </row>
    <row r="551" spans="1:7">
      <c r="A551" s="4" t="s">
        <v>19</v>
      </c>
      <c r="B551">
        <v>27.137518951429008</v>
      </c>
    </row>
    <row r="552" spans="1:7">
      <c r="A552" t="s">
        <v>20</v>
      </c>
      <c r="B552">
        <v>367.00198234150946</v>
      </c>
    </row>
    <row r="553" spans="1:7">
      <c r="A553" t="s">
        <v>23</v>
      </c>
      <c r="B553">
        <v>19.157295799290395</v>
      </c>
    </row>
    <row r="554" spans="1:7">
      <c r="A554" t="s">
        <v>24</v>
      </c>
      <c r="B554">
        <v>3.4407518980478176</v>
      </c>
    </row>
    <row r="555" spans="1:7">
      <c r="A555" t="s">
        <v>21</v>
      </c>
      <c r="B555">
        <v>7.887089727924308</v>
      </c>
    </row>
    <row r="556" spans="1:7">
      <c r="A556" s="4" t="s">
        <v>22</v>
      </c>
      <c r="B556">
        <f>TDIST(ABS(B555),30,1)</f>
        <v>4.2003217613452085E-9</v>
      </c>
    </row>
    <row r="557" spans="1:7">
      <c r="A557" s="1"/>
    </row>
    <row r="558" spans="1:7">
      <c r="A558" s="2" t="s">
        <v>1848</v>
      </c>
    </row>
    <row r="559" spans="1:7">
      <c r="A559" s="3" t="s">
        <v>7</v>
      </c>
      <c r="B559" s="3" t="s">
        <v>8</v>
      </c>
      <c r="C559" s="3" t="s">
        <v>9</v>
      </c>
      <c r="D559" s="3" t="s">
        <v>10</v>
      </c>
      <c r="E559" s="3" t="s">
        <v>11</v>
      </c>
      <c r="F559" s="3" t="s">
        <v>12</v>
      </c>
      <c r="G559" s="3" t="s">
        <v>13</v>
      </c>
    </row>
    <row r="560" spans="1:7">
      <c r="A560" t="s">
        <v>1368</v>
      </c>
      <c r="B560">
        <v>312.67224532745405</v>
      </c>
      <c r="C560">
        <v>313.19910514541385</v>
      </c>
      <c r="D560">
        <v>288.71723439280743</v>
      </c>
    </row>
    <row r="561" spans="1:7">
      <c r="A561" t="s">
        <v>1371</v>
      </c>
      <c r="B561">
        <v>335.52188131912027</v>
      </c>
      <c r="C561">
        <v>325.28339083292258</v>
      </c>
      <c r="D561">
        <v>305.89949016751638</v>
      </c>
    </row>
    <row r="562" spans="1:7">
      <c r="A562" s="1" t="s">
        <v>1372</v>
      </c>
      <c r="B562">
        <v>322.26099742625524</v>
      </c>
      <c r="C562">
        <v>318.98734177215192</v>
      </c>
      <c r="D562">
        <v>307.88967286722254</v>
      </c>
    </row>
    <row r="563" spans="1:7">
      <c r="A563" s="1" t="s">
        <v>1373</v>
      </c>
      <c r="B563">
        <v>319.02086677367578</v>
      </c>
      <c r="C563">
        <v>324.95164410058027</v>
      </c>
      <c r="D563">
        <v>307.99315570765094</v>
      </c>
    </row>
    <row r="564" spans="1:7">
      <c r="A564" s="1" t="s">
        <v>592</v>
      </c>
      <c r="B564">
        <v>317.6188573711546</v>
      </c>
      <c r="C564">
        <v>315.19699812382737</v>
      </c>
      <c r="D564">
        <v>289.19146885166884</v>
      </c>
    </row>
    <row r="565" spans="1:7">
      <c r="A565" s="1" t="s">
        <v>953</v>
      </c>
      <c r="B565">
        <v>332.99167520811983</v>
      </c>
      <c r="C565">
        <v>326.97547683923705</v>
      </c>
      <c r="D565">
        <v>304.6845245651898</v>
      </c>
    </row>
    <row r="566" spans="1:7">
      <c r="A566" s="1" t="s">
        <v>596</v>
      </c>
      <c r="B566">
        <v>339.26292876979659</v>
      </c>
      <c r="C566" t="e">
        <f>NA()</f>
        <v>#N/A</v>
      </c>
      <c r="D566" t="e">
        <f>NA()</f>
        <v>#N/A</v>
      </c>
      <c r="F566" t="s">
        <v>17</v>
      </c>
      <c r="G566" t="s">
        <v>49</v>
      </c>
    </row>
    <row r="567" spans="1:7">
      <c r="A567" s="1" t="s">
        <v>599</v>
      </c>
      <c r="B567">
        <v>315.28375537984186</v>
      </c>
      <c r="C567">
        <v>314.01869158878503</v>
      </c>
      <c r="D567">
        <v>310.03746286009562</v>
      </c>
    </row>
    <row r="568" spans="1:7">
      <c r="A568" s="1"/>
    </row>
    <row r="569" spans="1:7">
      <c r="A569" s="4" t="s">
        <v>18</v>
      </c>
      <c r="B569">
        <v>7</v>
      </c>
    </row>
    <row r="570" spans="1:7">
      <c r="A570" s="4" t="s">
        <v>191</v>
      </c>
      <c r="B570">
        <v>7</v>
      </c>
    </row>
    <row r="571" spans="1:7">
      <c r="A571" s="4" t="s">
        <v>192</v>
      </c>
      <c r="B571">
        <v>0</v>
      </c>
    </row>
    <row r="572" spans="1:7">
      <c r="A572" s="6" t="s">
        <v>193</v>
      </c>
      <c r="B572">
        <v>100</v>
      </c>
    </row>
    <row r="573" spans="1:7">
      <c r="A573" s="1"/>
    </row>
    <row r="574" spans="1:7">
      <c r="A574" s="4" t="s">
        <v>19</v>
      </c>
      <c r="B574">
        <v>17.742805570109503</v>
      </c>
    </row>
    <row r="575" spans="1:7">
      <c r="A575" s="1" t="s">
        <v>20</v>
      </c>
      <c r="B575">
        <v>61.870070993057062</v>
      </c>
    </row>
    <row r="576" spans="1:7">
      <c r="A576" s="1" t="s">
        <v>23</v>
      </c>
      <c r="B576">
        <v>7.86575304678815</v>
      </c>
    </row>
    <row r="577" spans="1:7">
      <c r="A577" s="1" t="s">
        <v>24</v>
      </c>
      <c r="B577">
        <v>2.9729752051500067</v>
      </c>
    </row>
    <row r="578" spans="1:7">
      <c r="A578" s="1" t="s">
        <v>21</v>
      </c>
      <c r="B578">
        <v>5.9680301199196375</v>
      </c>
    </row>
    <row r="579" spans="1:7">
      <c r="A579" s="4" t="s">
        <v>22</v>
      </c>
      <c r="B579">
        <f>TDIST(ABS(B578),6,1)</f>
        <v>4.9596893814206626E-4</v>
      </c>
    </row>
    <row r="580" spans="1:7">
      <c r="A580" s="1"/>
    </row>
    <row r="581" spans="1:7">
      <c r="A581" s="5" t="s">
        <v>1849</v>
      </c>
    </row>
    <row r="582" spans="1:7">
      <c r="A582" s="3" t="s">
        <v>7</v>
      </c>
      <c r="B582" s="3" t="s">
        <v>8</v>
      </c>
      <c r="C582" s="3" t="s">
        <v>9</v>
      </c>
      <c r="D582" s="3" t="s">
        <v>10</v>
      </c>
      <c r="E582" s="3" t="s">
        <v>11</v>
      </c>
      <c r="F582" s="3" t="s">
        <v>12</v>
      </c>
      <c r="G582" s="3" t="s">
        <v>13</v>
      </c>
    </row>
    <row r="583" spans="1:7">
      <c r="A583" t="s">
        <v>1369</v>
      </c>
      <c r="B583">
        <v>362.565780019616</v>
      </c>
      <c r="C583" t="e">
        <f>NA()</f>
        <v>#N/A</v>
      </c>
      <c r="D583" t="e">
        <f>NA()</f>
        <v>#N/A</v>
      </c>
      <c r="F583" t="s">
        <v>116</v>
      </c>
      <c r="G583" t="s">
        <v>17</v>
      </c>
    </row>
    <row r="584" spans="1:7">
      <c r="A584" t="s">
        <v>1370</v>
      </c>
      <c r="B584">
        <v>390.88671472708552</v>
      </c>
      <c r="C584">
        <v>343.53995519044065</v>
      </c>
      <c r="D584">
        <v>307.3770491803279</v>
      </c>
    </row>
    <row r="585" spans="1:7">
      <c r="A585" t="s">
        <v>1374</v>
      </c>
      <c r="B585">
        <v>370.17530659845011</v>
      </c>
      <c r="C585">
        <v>331.99195171026156</v>
      </c>
      <c r="D585">
        <v>319.79695431472084</v>
      </c>
    </row>
    <row r="586" spans="1:7">
      <c r="A586" s="1" t="s">
        <v>1375</v>
      </c>
      <c r="B586" t="e">
        <f>NA()</f>
        <v>#N/A</v>
      </c>
      <c r="C586" t="e">
        <f>NA()</f>
        <v>#N/A</v>
      </c>
      <c r="D586">
        <v>323.80718753832946</v>
      </c>
      <c r="E586" t="s">
        <v>15</v>
      </c>
      <c r="F586" t="s">
        <v>40</v>
      </c>
    </row>
    <row r="587" spans="1:7">
      <c r="A587" t="s">
        <v>954</v>
      </c>
      <c r="B587">
        <v>321.69969684062835</v>
      </c>
      <c r="C587">
        <v>328.76712328767121</v>
      </c>
      <c r="D587">
        <v>314.76392705470897</v>
      </c>
    </row>
    <row r="588" spans="1:7">
      <c r="A588" t="s">
        <v>955</v>
      </c>
      <c r="B588">
        <v>354.83385956998944</v>
      </c>
      <c r="C588">
        <v>326.38259292837711</v>
      </c>
      <c r="D588">
        <v>310.26840679635558</v>
      </c>
    </row>
    <row r="589" spans="1:7">
      <c r="A589" t="s">
        <v>831</v>
      </c>
      <c r="B589">
        <v>316.16189496399267</v>
      </c>
      <c r="C589">
        <v>315.78947368421052</v>
      </c>
      <c r="D589">
        <v>314.96062992125985</v>
      </c>
    </row>
    <row r="590" spans="1:7">
      <c r="A590" t="s">
        <v>833</v>
      </c>
      <c r="B590">
        <v>348.95963900726997</v>
      </c>
      <c r="C590">
        <v>329.63840766177236</v>
      </c>
      <c r="D590">
        <v>307.69230769230768</v>
      </c>
    </row>
    <row r="591" spans="1:7">
      <c r="A591" s="1"/>
    </row>
    <row r="592" spans="1:7">
      <c r="A592" s="4" t="s">
        <v>18</v>
      </c>
      <c r="B592">
        <v>6</v>
      </c>
    </row>
    <row r="593" spans="1:7">
      <c r="A593" s="3" t="s">
        <v>191</v>
      </c>
      <c r="B593">
        <v>6</v>
      </c>
    </row>
    <row r="594" spans="1:7">
      <c r="A594" s="3" t="s">
        <v>192</v>
      </c>
      <c r="B594">
        <v>0</v>
      </c>
    </row>
    <row r="595" spans="1:7">
      <c r="A595" s="6" t="s">
        <v>193</v>
      </c>
      <c r="B595">
        <v>100</v>
      </c>
    </row>
    <row r="597" spans="1:7">
      <c r="A597" s="4" t="s">
        <v>19</v>
      </c>
      <c r="B597">
        <v>16.875038250508766</v>
      </c>
    </row>
    <row r="598" spans="1:7">
      <c r="A598" t="s">
        <v>20</v>
      </c>
      <c r="B598">
        <v>137.18940442521861</v>
      </c>
    </row>
    <row r="599" spans="1:7">
      <c r="A599" t="s">
        <v>23</v>
      </c>
      <c r="B599">
        <v>11.712788072240469</v>
      </c>
    </row>
    <row r="600" spans="1:7">
      <c r="A600" t="s">
        <v>24</v>
      </c>
      <c r="B600">
        <v>4.7817257070576975</v>
      </c>
    </row>
    <row r="601" spans="1:7">
      <c r="A601" t="s">
        <v>21</v>
      </c>
      <c r="B601">
        <v>3.5290686426454085</v>
      </c>
    </row>
    <row r="602" spans="1:7">
      <c r="A602" s="4" t="s">
        <v>22</v>
      </c>
      <c r="B602">
        <f>TDIST(ABS(B601),5,1)</f>
        <v>8.3781888063291753E-3</v>
      </c>
    </row>
    <row r="604" spans="1:7">
      <c r="A604" s="2" t="s">
        <v>1850</v>
      </c>
    </row>
    <row r="605" spans="1:7">
      <c r="A605" s="3" t="s">
        <v>7</v>
      </c>
      <c r="B605" s="3" t="s">
        <v>8</v>
      </c>
      <c r="C605" s="3" t="s">
        <v>9</v>
      </c>
      <c r="D605" s="3" t="s">
        <v>10</v>
      </c>
      <c r="E605" s="3" t="s">
        <v>11</v>
      </c>
      <c r="F605" s="3" t="s">
        <v>12</v>
      </c>
      <c r="G605" s="3" t="s">
        <v>13</v>
      </c>
    </row>
    <row r="606" spans="1:7">
      <c r="A606" t="s">
        <v>1376</v>
      </c>
      <c r="B606">
        <v>328.66799004950121</v>
      </c>
      <c r="C606">
        <v>307.42954739538857</v>
      </c>
      <c r="D606">
        <v>292.23276083055629</v>
      </c>
    </row>
    <row r="607" spans="1:7">
      <c r="A607" s="1" t="s">
        <v>1379</v>
      </c>
      <c r="B607">
        <v>309.76667251447333</v>
      </c>
      <c r="C607">
        <v>320.93734080489048</v>
      </c>
      <c r="D607">
        <v>317.78058007566204</v>
      </c>
    </row>
    <row r="608" spans="1:7">
      <c r="A608" t="s">
        <v>604</v>
      </c>
      <c r="B608">
        <v>322.45912755217358</v>
      </c>
      <c r="C608">
        <v>335.96334945278693</v>
      </c>
      <c r="D608">
        <v>312.15161649944258</v>
      </c>
    </row>
    <row r="609" spans="1:7">
      <c r="A609" t="s">
        <v>838</v>
      </c>
      <c r="B609">
        <v>326.93461307738454</v>
      </c>
      <c r="C609">
        <v>312.53875728636984</v>
      </c>
      <c r="D609">
        <v>298.95366218236171</v>
      </c>
    </row>
    <row r="611" spans="1:7">
      <c r="A611" s="3" t="s">
        <v>18</v>
      </c>
      <c r="B611">
        <v>4</v>
      </c>
    </row>
    <row r="612" spans="1:7">
      <c r="A612" s="3" t="s">
        <v>191</v>
      </c>
      <c r="B612">
        <v>4</v>
      </c>
    </row>
    <row r="613" spans="1:7">
      <c r="A613" s="3" t="s">
        <v>192</v>
      </c>
      <c r="B613">
        <v>0</v>
      </c>
    </row>
    <row r="614" spans="1:7">
      <c r="A614" s="6" t="s">
        <v>193</v>
      </c>
      <c r="B614">
        <v>100</v>
      </c>
    </row>
    <row r="615" spans="1:7">
      <c r="A615" s="1"/>
    </row>
    <row r="616" spans="1:7">
      <c r="A616" s="4" t="s">
        <v>19</v>
      </c>
      <c r="B616">
        <v>13.937593837853299</v>
      </c>
    </row>
    <row r="617" spans="1:7">
      <c r="A617" s="1" t="s">
        <v>20</v>
      </c>
      <c r="B617">
        <v>71.811602489710509</v>
      </c>
    </row>
    <row r="618" spans="1:7">
      <c r="A618" t="s">
        <v>23</v>
      </c>
      <c r="B618">
        <v>8.474172672875536</v>
      </c>
    </row>
    <row r="619" spans="1:7">
      <c r="A619" t="s">
        <v>24</v>
      </c>
      <c r="B619">
        <v>4.237086336437768</v>
      </c>
    </row>
    <row r="620" spans="1:7">
      <c r="A620" t="s">
        <v>21</v>
      </c>
      <c r="B620">
        <v>3.289428803466631</v>
      </c>
    </row>
    <row r="621" spans="1:7">
      <c r="A621" s="3" t="s">
        <v>22</v>
      </c>
      <c r="B621">
        <f>TDIST(ABS(B620),3,1)</f>
        <v>2.3048890879210349E-2</v>
      </c>
    </row>
    <row r="622" spans="1:7">
      <c r="A622" s="1"/>
    </row>
    <row r="623" spans="1:7">
      <c r="A623" s="5" t="s">
        <v>1851</v>
      </c>
    </row>
    <row r="624" spans="1:7">
      <c r="A624" s="4" t="s">
        <v>7</v>
      </c>
      <c r="B624" s="3" t="s">
        <v>8</v>
      </c>
      <c r="C624" s="3" t="s">
        <v>9</v>
      </c>
      <c r="D624" s="3" t="s">
        <v>10</v>
      </c>
      <c r="E624" s="3" t="s">
        <v>11</v>
      </c>
      <c r="F624" s="3" t="s">
        <v>12</v>
      </c>
      <c r="G624" s="3" t="s">
        <v>13</v>
      </c>
    </row>
    <row r="625" spans="1:4">
      <c r="A625" s="1" t="s">
        <v>1377</v>
      </c>
      <c r="B625">
        <v>335.56708822492067</v>
      </c>
      <c r="C625">
        <v>336.47718582717306</v>
      </c>
      <c r="D625">
        <v>316.8217249182801</v>
      </c>
    </row>
    <row r="626" spans="1:4">
      <c r="A626" t="s">
        <v>1378</v>
      </c>
      <c r="B626">
        <v>343.79671150971598</v>
      </c>
      <c r="C626">
        <v>318.2621874210659</v>
      </c>
      <c r="D626">
        <v>306.59172202350533</v>
      </c>
    </row>
    <row r="627" spans="1:4">
      <c r="A627" t="s">
        <v>835</v>
      </c>
      <c r="B627">
        <v>369.35044107888922</v>
      </c>
      <c r="C627">
        <v>335.88570841255978</v>
      </c>
      <c r="D627">
        <v>316.86156167483966</v>
      </c>
    </row>
    <row r="628" spans="1:4">
      <c r="A628" t="s">
        <v>607</v>
      </c>
      <c r="B628">
        <v>339.79135618479881</v>
      </c>
      <c r="C628">
        <v>318.82591093117406</v>
      </c>
      <c r="D628">
        <v>295.60290676191647</v>
      </c>
    </row>
    <row r="630" spans="1:4">
      <c r="A630" s="4" t="s">
        <v>18</v>
      </c>
      <c r="B630">
        <v>4</v>
      </c>
    </row>
    <row r="631" spans="1:4">
      <c r="A631" s="4" t="s">
        <v>191</v>
      </c>
      <c r="B631">
        <v>4</v>
      </c>
    </row>
    <row r="632" spans="1:4">
      <c r="A632" s="4" t="s">
        <v>192</v>
      </c>
      <c r="B632">
        <v>0</v>
      </c>
    </row>
    <row r="633" spans="1:4">
      <c r="A633" s="6" t="s">
        <v>193</v>
      </c>
      <c r="B633">
        <v>100</v>
      </c>
    </row>
    <row r="635" spans="1:4">
      <c r="A635" s="3" t="s">
        <v>19</v>
      </c>
      <c r="B635">
        <v>18.393269303357812</v>
      </c>
    </row>
    <row r="636" spans="1:4">
      <c r="A636" t="s">
        <v>20</v>
      </c>
      <c r="B636">
        <v>23.504521738987165</v>
      </c>
    </row>
    <row r="637" spans="1:4">
      <c r="A637" t="s">
        <v>23</v>
      </c>
      <c r="B637">
        <v>4.8481462167499823</v>
      </c>
    </row>
    <row r="638" spans="1:4">
      <c r="A638" s="1" t="s">
        <v>24</v>
      </c>
      <c r="B638">
        <v>2.4240731083749911</v>
      </c>
    </row>
    <row r="639" spans="1:4">
      <c r="A639" s="1" t="s">
        <v>21</v>
      </c>
      <c r="B639">
        <v>7.58775353755233</v>
      </c>
    </row>
    <row r="640" spans="1:4">
      <c r="A640" s="4" t="s">
        <v>22</v>
      </c>
      <c r="B640">
        <f>TDIST(ABS(B639),3,1)</f>
        <v>2.3746019745886954E-3</v>
      </c>
    </row>
    <row r="641" spans="1:7">
      <c r="A641" s="1"/>
    </row>
    <row r="642" spans="1:7">
      <c r="A642" s="2" t="s">
        <v>1852</v>
      </c>
    </row>
    <row r="643" spans="1:7">
      <c r="A643" s="3" t="s">
        <v>7</v>
      </c>
      <c r="B643" s="3" t="s">
        <v>8</v>
      </c>
      <c r="C643" s="3" t="s">
        <v>9</v>
      </c>
      <c r="D643" s="3" t="s">
        <v>10</v>
      </c>
      <c r="E643" s="3" t="s">
        <v>11</v>
      </c>
      <c r="F643" s="3" t="s">
        <v>12</v>
      </c>
      <c r="G643" s="3" t="s">
        <v>13</v>
      </c>
    </row>
    <row r="644" spans="1:7">
      <c r="A644" t="s">
        <v>1380</v>
      </c>
      <c r="B644">
        <v>337.94317324616543</v>
      </c>
      <c r="C644">
        <v>317.22054380664656</v>
      </c>
      <c r="D644">
        <v>301.54542027892956</v>
      </c>
    </row>
    <row r="645" spans="1:7">
      <c r="A645" t="s">
        <v>1381</v>
      </c>
      <c r="B645" t="e">
        <f>NA()</f>
        <v>#N/A</v>
      </c>
      <c r="C645">
        <v>322.86995515695071</v>
      </c>
      <c r="D645">
        <v>305.15863405182853</v>
      </c>
      <c r="E645" t="s">
        <v>29</v>
      </c>
    </row>
    <row r="646" spans="1:7">
      <c r="A646" s="1" t="s">
        <v>608</v>
      </c>
      <c r="B646">
        <v>337.96866748811834</v>
      </c>
      <c r="C646">
        <v>326.77311548458971</v>
      </c>
      <c r="D646">
        <v>314.68531468531467</v>
      </c>
    </row>
    <row r="647" spans="1:7">
      <c r="A647" s="1" t="s">
        <v>962</v>
      </c>
      <c r="B647">
        <v>306.87459258887833</v>
      </c>
      <c r="C647">
        <v>321.44161694873981</v>
      </c>
      <c r="D647">
        <v>305.56566024008731</v>
      </c>
    </row>
    <row r="648" spans="1:7">
      <c r="A648" s="1"/>
    </row>
    <row r="649" spans="1:7">
      <c r="A649" s="4" t="s">
        <v>18</v>
      </c>
      <c r="B649">
        <v>4</v>
      </c>
    </row>
    <row r="650" spans="1:7">
      <c r="A650" s="4" t="s">
        <v>191</v>
      </c>
      <c r="B650">
        <v>4</v>
      </c>
    </row>
    <row r="651" spans="1:7">
      <c r="A651" s="4" t="s">
        <v>192</v>
      </c>
      <c r="B651">
        <v>0</v>
      </c>
    </row>
    <row r="652" spans="1:7">
      <c r="A652" s="6" t="s">
        <v>193</v>
      </c>
      <c r="B652">
        <v>100</v>
      </c>
    </row>
    <row r="653" spans="1:7">
      <c r="A653" s="1"/>
    </row>
    <row r="654" spans="1:7">
      <c r="A654" s="3" t="s">
        <v>19</v>
      </c>
      <c r="B654">
        <v>15.337550535191681</v>
      </c>
    </row>
    <row r="655" spans="1:7">
      <c r="A655" t="s">
        <v>20</v>
      </c>
      <c r="B655">
        <v>5.5331655992205482</v>
      </c>
    </row>
    <row r="656" spans="1:7">
      <c r="A656" t="s">
        <v>23</v>
      </c>
      <c r="B656">
        <v>2.3522681818237792</v>
      </c>
    </row>
    <row r="657" spans="1:7">
      <c r="A657" t="s">
        <v>24</v>
      </c>
      <c r="B657">
        <v>1.1761340909118896</v>
      </c>
    </row>
    <row r="658" spans="1:7">
      <c r="A658" s="1" t="s">
        <v>21</v>
      </c>
      <c r="B658">
        <v>13.040647876552962</v>
      </c>
    </row>
    <row r="659" spans="1:7">
      <c r="A659" s="3" t="s">
        <v>22</v>
      </c>
      <c r="B659">
        <f>TDIST(ABS(B658),3,1)</f>
        <v>4.8688363897629155E-4</v>
      </c>
    </row>
    <row r="661" spans="1:7">
      <c r="A661" s="2" t="s">
        <v>1853</v>
      </c>
    </row>
    <row r="662" spans="1:7">
      <c r="A662" s="3" t="s">
        <v>7</v>
      </c>
      <c r="B662" s="3" t="s">
        <v>8</v>
      </c>
      <c r="C662" s="3" t="s">
        <v>9</v>
      </c>
      <c r="D662" s="3" t="s">
        <v>10</v>
      </c>
      <c r="E662" s="3" t="s">
        <v>11</v>
      </c>
      <c r="F662" s="3" t="s">
        <v>12</v>
      </c>
      <c r="G662" s="3" t="s">
        <v>13</v>
      </c>
    </row>
    <row r="663" spans="1:7">
      <c r="A663" s="1" t="s">
        <v>1382</v>
      </c>
      <c r="B663">
        <v>348.9734715089096</v>
      </c>
      <c r="C663">
        <v>326.93498452012386</v>
      </c>
      <c r="D663">
        <v>309.59752321981421</v>
      </c>
    </row>
    <row r="664" spans="1:7">
      <c r="A664" s="1" t="s">
        <v>1383</v>
      </c>
      <c r="B664">
        <v>319.98405063922047</v>
      </c>
      <c r="C664">
        <v>324.53316162266577</v>
      </c>
      <c r="D664">
        <v>302.03876164107731</v>
      </c>
    </row>
    <row r="665" spans="1:7">
      <c r="A665" s="1" t="s">
        <v>610</v>
      </c>
      <c r="B665">
        <v>349.22766957689726</v>
      </c>
      <c r="C665">
        <v>327.34035957842531</v>
      </c>
      <c r="D665">
        <v>302.38125236235351</v>
      </c>
    </row>
    <row r="666" spans="1:7">
      <c r="A666" s="1" t="s">
        <v>964</v>
      </c>
      <c r="B666">
        <v>331.00127886857746</v>
      </c>
      <c r="C666">
        <v>321.28514056224901</v>
      </c>
      <c r="D666">
        <v>306.78767736162598</v>
      </c>
    </row>
    <row r="667" spans="1:7">
      <c r="A667" s="1"/>
    </row>
    <row r="668" spans="1:7">
      <c r="A668" s="4" t="s">
        <v>18</v>
      </c>
      <c r="B668">
        <v>4</v>
      </c>
    </row>
    <row r="669" spans="1:7">
      <c r="A669" s="4" t="s">
        <v>191</v>
      </c>
      <c r="B669">
        <v>4</v>
      </c>
    </row>
    <row r="670" spans="1:7">
      <c r="A670" s="3" t="s">
        <v>192</v>
      </c>
      <c r="B670">
        <v>0</v>
      </c>
    </row>
    <row r="671" spans="1:7">
      <c r="A671" s="6" t="s">
        <v>193</v>
      </c>
      <c r="B671">
        <v>100</v>
      </c>
    </row>
    <row r="673" spans="1:7">
      <c r="A673" s="3" t="s">
        <v>19</v>
      </c>
      <c r="B673">
        <v>19.822107924648236</v>
      </c>
    </row>
    <row r="674" spans="1:7">
      <c r="A674" s="1" t="s">
        <v>20</v>
      </c>
      <c r="B674">
        <v>22.685072280866184</v>
      </c>
    </row>
    <row r="675" spans="1:7">
      <c r="A675" s="1" t="s">
        <v>23</v>
      </c>
      <c r="B675">
        <v>4.7628848695791692</v>
      </c>
    </row>
    <row r="676" spans="1:7">
      <c r="A676" s="1" t="s">
        <v>24</v>
      </c>
      <c r="B676">
        <v>2.3814424347895846</v>
      </c>
    </row>
    <row r="677" spans="1:7">
      <c r="A677" s="1" t="s">
        <v>21</v>
      </c>
      <c r="B677">
        <v>8.3235721489944989</v>
      </c>
    </row>
    <row r="678" spans="1:7">
      <c r="A678" s="4" t="s">
        <v>22</v>
      </c>
      <c r="B678">
        <f>TDIST(ABS(B677),3,1)</f>
        <v>1.8171592328300337E-3</v>
      </c>
    </row>
    <row r="679" spans="1:7">
      <c r="A679" s="1"/>
    </row>
    <row r="680" spans="1:7">
      <c r="A680" s="5" t="s">
        <v>1854</v>
      </c>
    </row>
    <row r="681" spans="1:7">
      <c r="A681" s="3" t="s">
        <v>7</v>
      </c>
      <c r="B681" s="3" t="s">
        <v>8</v>
      </c>
      <c r="C681" s="3" t="s">
        <v>9</v>
      </c>
      <c r="D681" s="3" t="s">
        <v>10</v>
      </c>
      <c r="E681" s="3" t="s">
        <v>11</v>
      </c>
      <c r="F681" s="3" t="s">
        <v>12</v>
      </c>
      <c r="G681" s="3" t="s">
        <v>13</v>
      </c>
    </row>
    <row r="682" spans="1:7">
      <c r="A682" t="s">
        <v>1384</v>
      </c>
      <c r="B682" t="e">
        <f>NA()</f>
        <v>#N/A</v>
      </c>
      <c r="C682">
        <v>362.30972449364697</v>
      </c>
      <c r="D682">
        <v>375.89274527001629</v>
      </c>
      <c r="E682" t="s">
        <v>14</v>
      </c>
    </row>
    <row r="683" spans="1:7">
      <c r="A683" t="s">
        <v>1387</v>
      </c>
      <c r="B683">
        <v>375.29001734843314</v>
      </c>
      <c r="C683">
        <v>342.85714285714289</v>
      </c>
      <c r="D683">
        <v>307.80505679736171</v>
      </c>
    </row>
    <row r="685" spans="1:7">
      <c r="A685" s="4" t="s">
        <v>18</v>
      </c>
      <c r="B685">
        <v>2</v>
      </c>
    </row>
    <row r="686" spans="1:7">
      <c r="A686" s="3" t="s">
        <v>191</v>
      </c>
      <c r="B686">
        <v>1</v>
      </c>
    </row>
    <row r="687" spans="1:7">
      <c r="A687" s="3" t="s">
        <v>192</v>
      </c>
      <c r="B687">
        <v>1</v>
      </c>
    </row>
    <row r="688" spans="1:7">
      <c r="A688" s="6" t="s">
        <v>193</v>
      </c>
      <c r="B688">
        <v>50</v>
      </c>
    </row>
    <row r="690" spans="1:7">
      <c r="A690" s="4" t="s">
        <v>19</v>
      </c>
      <c r="B690">
        <v>10.734532641705925</v>
      </c>
    </row>
    <row r="691" spans="1:7">
      <c r="A691" t="s">
        <v>20</v>
      </c>
      <c r="B691">
        <v>1182.6868084818864</v>
      </c>
    </row>
    <row r="692" spans="1:7">
      <c r="A692" t="s">
        <v>23</v>
      </c>
      <c r="B692">
        <v>34.39021384757423</v>
      </c>
    </row>
    <row r="693" spans="1:7">
      <c r="A693" t="s">
        <v>24</v>
      </c>
      <c r="B693">
        <v>24.317553418075249</v>
      </c>
    </row>
    <row r="694" spans="1:7">
      <c r="A694" t="s">
        <v>21</v>
      </c>
      <c r="B694">
        <v>0.44143144078494928</v>
      </c>
    </row>
    <row r="695" spans="1:7">
      <c r="A695" s="4" t="s">
        <v>22</v>
      </c>
      <c r="B695">
        <f>TDIST(ABS(B694),1,1)</f>
        <v>0.36767682807057545</v>
      </c>
    </row>
    <row r="696" spans="1:7">
      <c r="A696" s="1"/>
    </row>
    <row r="697" spans="1:7">
      <c r="A697" s="5" t="s">
        <v>1855</v>
      </c>
    </row>
    <row r="698" spans="1:7">
      <c r="A698" s="4" t="s">
        <v>7</v>
      </c>
      <c r="B698" s="3" t="s">
        <v>8</v>
      </c>
      <c r="C698" s="3" t="s">
        <v>9</v>
      </c>
      <c r="D698" s="3" t="s">
        <v>10</v>
      </c>
      <c r="E698" s="3" t="s">
        <v>11</v>
      </c>
      <c r="F698" s="3" t="s">
        <v>12</v>
      </c>
      <c r="G698" s="3" t="s">
        <v>13</v>
      </c>
    </row>
    <row r="699" spans="1:7">
      <c r="A699" s="1" t="s">
        <v>1385</v>
      </c>
      <c r="B699">
        <v>367.56213909113728</v>
      </c>
      <c r="C699">
        <v>355.34955581305519</v>
      </c>
      <c r="D699">
        <v>295.22206396478049</v>
      </c>
    </row>
    <row r="700" spans="1:7">
      <c r="A700" s="1" t="s">
        <v>1386</v>
      </c>
      <c r="B700">
        <v>371.25591472693145</v>
      </c>
      <c r="C700">
        <v>356.56803268540301</v>
      </c>
      <c r="D700">
        <v>326.44985779646345</v>
      </c>
    </row>
    <row r="701" spans="1:7">
      <c r="A701" s="1"/>
    </row>
    <row r="702" spans="1:7">
      <c r="A702" s="4" t="s">
        <v>18</v>
      </c>
      <c r="B702">
        <v>2</v>
      </c>
    </row>
    <row r="703" spans="1:7">
      <c r="A703" s="4" t="s">
        <v>191</v>
      </c>
      <c r="B703">
        <v>2</v>
      </c>
    </row>
    <row r="704" spans="1:7">
      <c r="A704" s="4" t="s">
        <v>192</v>
      </c>
      <c r="B704">
        <v>0</v>
      </c>
    </row>
    <row r="705" spans="1:7">
      <c r="A705" s="6" t="s">
        <v>193</v>
      </c>
      <c r="B705">
        <v>100</v>
      </c>
    </row>
    <row r="706" spans="1:7">
      <c r="A706" s="1"/>
    </row>
    <row r="707" spans="1:7">
      <c r="A707" s="4" t="s">
        <v>19</v>
      </c>
      <c r="B707">
        <v>45.122833368607132</v>
      </c>
    </row>
    <row r="708" spans="1:7">
      <c r="A708" s="1" t="s">
        <v>20</v>
      </c>
      <c r="B708">
        <v>450.27955218291976</v>
      </c>
    </row>
    <row r="709" spans="1:7">
      <c r="A709" t="s">
        <v>23</v>
      </c>
      <c r="B709">
        <v>21.219791520722342</v>
      </c>
    </row>
    <row r="710" spans="1:7">
      <c r="A710" t="s">
        <v>24</v>
      </c>
      <c r="B710">
        <v>15.004658479667569</v>
      </c>
    </row>
    <row r="711" spans="1:7">
      <c r="A711" t="s">
        <v>21</v>
      </c>
      <c r="B711">
        <v>3.0072549421735881</v>
      </c>
    </row>
    <row r="712" spans="1:7">
      <c r="A712" s="3" t="s">
        <v>22</v>
      </c>
      <c r="B712">
        <f>TDIST(ABS(B711),1,1)</f>
        <v>0.10218595191839372</v>
      </c>
    </row>
    <row r="713" spans="1:7">
      <c r="A713" s="1"/>
    </row>
    <row r="714" spans="1:7">
      <c r="A714" s="5" t="s">
        <v>1856</v>
      </c>
    </row>
    <row r="715" spans="1:7">
      <c r="A715" s="4" t="s">
        <v>7</v>
      </c>
      <c r="B715" s="3" t="s">
        <v>8</v>
      </c>
      <c r="C715" s="3" t="s">
        <v>9</v>
      </c>
      <c r="D715" s="3" t="s">
        <v>10</v>
      </c>
      <c r="E715" s="3" t="s">
        <v>11</v>
      </c>
      <c r="F715" s="3" t="s">
        <v>12</v>
      </c>
      <c r="G715" s="3" t="s">
        <v>13</v>
      </c>
    </row>
    <row r="716" spans="1:7">
      <c r="A716" s="1" t="s">
        <v>1388</v>
      </c>
      <c r="B716">
        <v>361.92327824721457</v>
      </c>
      <c r="C716">
        <v>312.41864097891175</v>
      </c>
      <c r="D716">
        <v>288.57106695355014</v>
      </c>
    </row>
    <row r="717" spans="1:7">
      <c r="A717" s="1" t="s">
        <v>1390</v>
      </c>
      <c r="B717">
        <v>361.76359753799773</v>
      </c>
      <c r="C717">
        <v>337.42331288343559</v>
      </c>
      <c r="D717">
        <v>299.88754217168565</v>
      </c>
    </row>
    <row r="718" spans="1:7">
      <c r="A718" s="1"/>
    </row>
    <row r="719" spans="1:7">
      <c r="A719" s="4" t="s">
        <v>18</v>
      </c>
      <c r="B719">
        <v>2</v>
      </c>
    </row>
    <row r="720" spans="1:7">
      <c r="A720" s="4" t="s">
        <v>191</v>
      </c>
      <c r="B720">
        <v>2</v>
      </c>
    </row>
    <row r="721" spans="1:7">
      <c r="A721" s="4" t="s">
        <v>192</v>
      </c>
      <c r="B721">
        <v>0</v>
      </c>
    </row>
    <row r="722" spans="1:7">
      <c r="A722" s="6" t="s">
        <v>193</v>
      </c>
      <c r="B722">
        <v>100</v>
      </c>
    </row>
    <row r="723" spans="1:7">
      <c r="A723" s="1"/>
    </row>
    <row r="724" spans="1:7">
      <c r="A724" s="4" t="s">
        <v>19</v>
      </c>
      <c r="B724">
        <v>30.691672368555771</v>
      </c>
    </row>
    <row r="725" spans="1:7">
      <c r="A725" s="1" t="s">
        <v>20</v>
      </c>
      <c r="B725">
        <v>93.683364262626142</v>
      </c>
    </row>
    <row r="726" spans="1:7">
      <c r="A726" s="1" t="s">
        <v>23</v>
      </c>
      <c r="B726">
        <v>9.6790166991604139</v>
      </c>
    </row>
    <row r="727" spans="1:7">
      <c r="A727" t="s">
        <v>24</v>
      </c>
      <c r="B727">
        <v>6.8440983431941618</v>
      </c>
    </row>
    <row r="728" spans="1:7">
      <c r="A728" t="s">
        <v>21</v>
      </c>
      <c r="B728">
        <v>4.4843996724675748</v>
      </c>
    </row>
    <row r="729" spans="1:7">
      <c r="A729" s="3" t="s">
        <v>22</v>
      </c>
      <c r="B729">
        <f>TDIST(ABS(B728),1,1)</f>
        <v>6.9838943578979101E-2</v>
      </c>
    </row>
    <row r="731" spans="1:7">
      <c r="A731" s="5" t="s">
        <v>1857</v>
      </c>
    </row>
    <row r="732" spans="1:7">
      <c r="A732" s="3" t="s">
        <v>7</v>
      </c>
      <c r="B732" s="3" t="s">
        <v>8</v>
      </c>
      <c r="C732" s="3" t="s">
        <v>9</v>
      </c>
      <c r="D732" s="3" t="s">
        <v>10</v>
      </c>
      <c r="E732" s="3" t="s">
        <v>11</v>
      </c>
      <c r="F732" s="3" t="s">
        <v>12</v>
      </c>
      <c r="G732" s="3" t="s">
        <v>13</v>
      </c>
    </row>
    <row r="733" spans="1:7">
      <c r="A733" t="s">
        <v>1389</v>
      </c>
      <c r="B733">
        <v>342.59483114098674</v>
      </c>
      <c r="C733">
        <v>335.76642335766422</v>
      </c>
      <c r="D733">
        <v>293.05912596401026</v>
      </c>
    </row>
    <row r="734" spans="1:7">
      <c r="A734" t="s">
        <v>1391</v>
      </c>
      <c r="B734">
        <v>350.50053673515242</v>
      </c>
      <c r="C734">
        <v>298.47033951001117</v>
      </c>
      <c r="D734">
        <v>272.10884353741494</v>
      </c>
    </row>
    <row r="736" spans="1:7">
      <c r="A736" s="4" t="s">
        <v>18</v>
      </c>
      <c r="B736">
        <v>2</v>
      </c>
    </row>
    <row r="737" spans="1:7">
      <c r="A737" s="3" t="s">
        <v>191</v>
      </c>
      <c r="B737">
        <v>2</v>
      </c>
    </row>
    <row r="738" spans="1:7">
      <c r="A738" s="3" t="s">
        <v>192</v>
      </c>
      <c r="B738">
        <v>0</v>
      </c>
    </row>
    <row r="739" spans="1:7">
      <c r="A739" s="6" t="s">
        <v>193</v>
      </c>
      <c r="B739">
        <v>100</v>
      </c>
    </row>
    <row r="741" spans="1:7">
      <c r="A741" s="4" t="s">
        <v>19</v>
      </c>
      <c r="B741">
        <v>34.534396683125095</v>
      </c>
    </row>
    <row r="742" spans="1:7">
      <c r="A742" t="s">
        <v>20</v>
      </c>
      <c r="B742">
        <v>133.59261204832643</v>
      </c>
    </row>
    <row r="743" spans="1:7">
      <c r="A743" t="s">
        <v>23</v>
      </c>
      <c r="B743">
        <v>11.558227028758624</v>
      </c>
    </row>
    <row r="744" spans="1:7">
      <c r="A744" t="s">
        <v>24</v>
      </c>
      <c r="B744">
        <v>8.1729007105288645</v>
      </c>
    </row>
    <row r="745" spans="1:7">
      <c r="A745" t="s">
        <v>21</v>
      </c>
      <c r="B745">
        <v>4.225476107722149</v>
      </c>
    </row>
    <row r="746" spans="1:7">
      <c r="A746" s="4" t="s">
        <v>22</v>
      </c>
      <c r="B746">
        <f>TDIST(ABS(B745),1,1)</f>
        <v>7.3970200495760058E-2</v>
      </c>
    </row>
    <row r="747" spans="1:7">
      <c r="A747" s="1"/>
    </row>
    <row r="748" spans="1:7">
      <c r="A748" s="5" t="s">
        <v>1858</v>
      </c>
    </row>
    <row r="749" spans="1:7">
      <c r="A749" s="4" t="s">
        <v>7</v>
      </c>
      <c r="B749" s="3" t="s">
        <v>8</v>
      </c>
      <c r="C749" s="3" t="s">
        <v>9</v>
      </c>
      <c r="D749" s="3" t="s">
        <v>10</v>
      </c>
      <c r="E749" s="3" t="s">
        <v>11</v>
      </c>
      <c r="F749" s="3" t="s">
        <v>12</v>
      </c>
      <c r="G749" s="3" t="s">
        <v>13</v>
      </c>
    </row>
    <row r="750" spans="1:7">
      <c r="A750" t="s">
        <v>1392</v>
      </c>
      <c r="B750">
        <v>363.39064494331404</v>
      </c>
      <c r="C750">
        <v>323.36712434235858</v>
      </c>
      <c r="D750">
        <v>290.838584585555</v>
      </c>
    </row>
    <row r="751" spans="1:7">
      <c r="A751" t="s">
        <v>1393</v>
      </c>
      <c r="B751">
        <v>338.41623199980035</v>
      </c>
      <c r="C751">
        <v>330.57851239669424</v>
      </c>
      <c r="D751">
        <v>305.63978168587022</v>
      </c>
    </row>
    <row r="753" spans="1:7">
      <c r="A753" s="3" t="s">
        <v>18</v>
      </c>
      <c r="B753">
        <v>2</v>
      </c>
    </row>
    <row r="754" spans="1:7">
      <c r="A754" s="4" t="s">
        <v>191</v>
      </c>
      <c r="B754">
        <v>2</v>
      </c>
    </row>
    <row r="755" spans="1:7">
      <c r="A755" s="4" t="s">
        <v>192</v>
      </c>
      <c r="B755">
        <v>0</v>
      </c>
    </row>
    <row r="756" spans="1:7">
      <c r="A756" s="6" t="s">
        <v>193</v>
      </c>
      <c r="B756">
        <v>100</v>
      </c>
    </row>
    <row r="758" spans="1:7">
      <c r="A758" s="3" t="s">
        <v>19</v>
      </c>
      <c r="B758">
        <v>28.7336352338138</v>
      </c>
    </row>
    <row r="759" spans="1:7">
      <c r="A759" t="s">
        <v>20</v>
      </c>
      <c r="B759">
        <v>28.80260067721661</v>
      </c>
    </row>
    <row r="760" spans="1:7">
      <c r="A760" t="s">
        <v>23</v>
      </c>
      <c r="B760">
        <v>5.366805444323151</v>
      </c>
    </row>
    <row r="761" spans="1:7">
      <c r="A761" s="1" t="s">
        <v>24</v>
      </c>
      <c r="B761">
        <v>3.794904522989782</v>
      </c>
    </row>
    <row r="762" spans="1:7">
      <c r="A762" t="s">
        <v>21</v>
      </c>
      <c r="B762">
        <v>7.5716358764083633</v>
      </c>
    </row>
    <row r="763" spans="1:7">
      <c r="A763" s="3" t="s">
        <v>22</v>
      </c>
      <c r="B763">
        <f>TDIST(ABS(B762),1,1)</f>
        <v>4.1797871118659777E-2</v>
      </c>
    </row>
    <row r="765" spans="1:7">
      <c r="A765" s="2" t="s">
        <v>1859</v>
      </c>
    </row>
    <row r="766" spans="1:7">
      <c r="A766" s="4" t="s">
        <v>7</v>
      </c>
      <c r="B766" s="3" t="s">
        <v>8</v>
      </c>
      <c r="C766" s="3" t="s">
        <v>9</v>
      </c>
      <c r="D766" s="3" t="s">
        <v>10</v>
      </c>
      <c r="E766" s="3" t="s">
        <v>11</v>
      </c>
      <c r="F766" s="3" t="s">
        <v>12</v>
      </c>
      <c r="G766" s="3" t="s">
        <v>13</v>
      </c>
    </row>
    <row r="767" spans="1:7">
      <c r="A767" s="1" t="s">
        <v>1394</v>
      </c>
      <c r="B767">
        <v>345.35398783753345</v>
      </c>
      <c r="C767">
        <v>314.09697120777759</v>
      </c>
      <c r="D767">
        <v>319.07179115300943</v>
      </c>
    </row>
    <row r="768" spans="1:7">
      <c r="A768" s="1" t="s">
        <v>1395</v>
      </c>
      <c r="B768">
        <v>347.62630172564491</v>
      </c>
      <c r="C768">
        <v>318.10148952284777</v>
      </c>
      <c r="D768">
        <v>306.90537084398977</v>
      </c>
    </row>
    <row r="769" spans="1:7">
      <c r="A769" s="1"/>
    </row>
    <row r="770" spans="1:7">
      <c r="A770" s="4" t="s">
        <v>18</v>
      </c>
      <c r="B770">
        <v>2</v>
      </c>
    </row>
    <row r="771" spans="1:7">
      <c r="A771" s="4" t="s">
        <v>191</v>
      </c>
      <c r="B771">
        <v>1</v>
      </c>
    </row>
    <row r="772" spans="1:7">
      <c r="A772" s="4" t="s">
        <v>192</v>
      </c>
      <c r="B772">
        <v>1</v>
      </c>
    </row>
    <row r="773" spans="1:7">
      <c r="A773" s="6" t="s">
        <v>193</v>
      </c>
      <c r="B773">
        <v>50</v>
      </c>
    </row>
    <row r="775" spans="1:7">
      <c r="A775" s="3" t="s">
        <v>19</v>
      </c>
      <c r="B775">
        <v>3.1106493668130781</v>
      </c>
    </row>
    <row r="776" spans="1:7">
      <c r="A776" t="s">
        <v>20</v>
      </c>
      <c r="B776">
        <v>130.74962799204033</v>
      </c>
    </row>
    <row r="777" spans="1:7">
      <c r="A777" s="1" t="s">
        <v>23</v>
      </c>
      <c r="B777">
        <v>11.434580359245386</v>
      </c>
    </row>
    <row r="778" spans="1:7">
      <c r="A778" s="1" t="s">
        <v>24</v>
      </c>
      <c r="B778">
        <v>8.0854693120449213</v>
      </c>
    </row>
    <row r="779" spans="1:7">
      <c r="A779" s="1" t="s">
        <v>21</v>
      </c>
      <c r="B779">
        <v>0.3847209415759138</v>
      </c>
    </row>
    <row r="780" spans="1:7">
      <c r="A780" s="4" t="s">
        <v>22</v>
      </c>
      <c r="B780">
        <f>TDIST(ABS(B779),1,1)</f>
        <v>0.3830956698534479</v>
      </c>
    </row>
    <row r="782" spans="1:7">
      <c r="A782" s="2" t="s">
        <v>1860</v>
      </c>
    </row>
    <row r="783" spans="1:7">
      <c r="A783" s="3" t="s">
        <v>7</v>
      </c>
      <c r="B783" s="3" t="s">
        <v>8</v>
      </c>
      <c r="C783" s="3" t="s">
        <v>9</v>
      </c>
      <c r="D783" s="3" t="s">
        <v>10</v>
      </c>
      <c r="E783" s="3" t="s">
        <v>11</v>
      </c>
      <c r="F783" s="3" t="s">
        <v>12</v>
      </c>
      <c r="G783" s="3" t="s">
        <v>13</v>
      </c>
    </row>
    <row r="784" spans="1:7">
      <c r="A784" t="s">
        <v>1396</v>
      </c>
      <c r="B784">
        <v>344.78450968144909</v>
      </c>
      <c r="C784">
        <v>321.83908045977012</v>
      </c>
      <c r="D784">
        <v>302.03876164107731</v>
      </c>
    </row>
    <row r="785" spans="1:7">
      <c r="A785" s="1" t="s">
        <v>1397</v>
      </c>
      <c r="B785">
        <v>340.28157803094371</v>
      </c>
      <c r="C785">
        <v>320.85561497326205</v>
      </c>
      <c r="D785">
        <v>304.37539632213065</v>
      </c>
    </row>
    <row r="787" spans="1:7">
      <c r="A787" s="3" t="s">
        <v>18</v>
      </c>
      <c r="B787">
        <v>2</v>
      </c>
    </row>
    <row r="788" spans="1:7">
      <c r="A788" s="3" t="s">
        <v>191</v>
      </c>
      <c r="B788">
        <v>2</v>
      </c>
    </row>
    <row r="789" spans="1:7">
      <c r="A789" s="3" t="s">
        <v>192</v>
      </c>
      <c r="B789">
        <v>0</v>
      </c>
    </row>
    <row r="790" spans="1:7">
      <c r="A790" s="6" t="s">
        <v>193</v>
      </c>
      <c r="B790">
        <v>100</v>
      </c>
    </row>
    <row r="791" spans="1:7">
      <c r="A791" s="1"/>
    </row>
    <row r="792" spans="1:7">
      <c r="A792" s="4" t="s">
        <v>19</v>
      </c>
      <c r="B792">
        <v>18.140268734912098</v>
      </c>
    </row>
    <row r="793" spans="1:7">
      <c r="A793" s="1" t="s">
        <v>20</v>
      </c>
      <c r="B793">
        <v>5.5115325613206396</v>
      </c>
    </row>
    <row r="794" spans="1:7">
      <c r="A794" t="s">
        <v>23</v>
      </c>
      <c r="B794">
        <v>2.347665342701263</v>
      </c>
    </row>
    <row r="795" spans="1:7">
      <c r="A795" t="s">
        <v>24</v>
      </c>
      <c r="B795">
        <v>1.6600500837807033</v>
      </c>
    </row>
    <row r="796" spans="1:7">
      <c r="A796" t="s">
        <v>21</v>
      </c>
      <c r="B796">
        <v>10.927543037495772</v>
      </c>
    </row>
    <row r="797" spans="1:7">
      <c r="A797" s="3" t="s">
        <v>22</v>
      </c>
      <c r="B797">
        <f>TDIST(ABS(B796),1,1)</f>
        <v>2.9048228791525799E-2</v>
      </c>
    </row>
    <row r="798" spans="1:7">
      <c r="A798" s="1"/>
    </row>
    <row r="799" spans="1:7">
      <c r="A799" s="5" t="s">
        <v>1861</v>
      </c>
    </row>
    <row r="800" spans="1:7">
      <c r="A800" s="4" t="s">
        <v>7</v>
      </c>
      <c r="B800" s="3" t="s">
        <v>8</v>
      </c>
      <c r="C800" s="3" t="s">
        <v>9</v>
      </c>
      <c r="D800" s="3" t="s">
        <v>10</v>
      </c>
      <c r="E800" s="3" t="s">
        <v>11</v>
      </c>
      <c r="F800" s="3" t="s">
        <v>12</v>
      </c>
      <c r="G800" s="3" t="s">
        <v>13</v>
      </c>
    </row>
    <row r="801" spans="1:4">
      <c r="A801" s="1" t="s">
        <v>1398</v>
      </c>
      <c r="B801">
        <v>339.86962791442613</v>
      </c>
      <c r="C801">
        <v>358.65504358655045</v>
      </c>
      <c r="D801">
        <v>336.60589060308553</v>
      </c>
    </row>
    <row r="802" spans="1:4">
      <c r="A802" t="s">
        <v>1399</v>
      </c>
      <c r="B802">
        <v>361.93225684034701</v>
      </c>
      <c r="C802">
        <v>337.42331288343559</v>
      </c>
      <c r="D802">
        <v>315.0393799224903</v>
      </c>
    </row>
    <row r="804" spans="1:4">
      <c r="A804" s="3" t="s">
        <v>18</v>
      </c>
      <c r="B804">
        <v>2</v>
      </c>
    </row>
    <row r="805" spans="1:4">
      <c r="A805" s="3" t="s">
        <v>191</v>
      </c>
      <c r="B805">
        <v>2</v>
      </c>
    </row>
    <row r="806" spans="1:4">
      <c r="A806" s="4" t="s">
        <v>192</v>
      </c>
      <c r="B806">
        <v>0</v>
      </c>
    </row>
    <row r="807" spans="1:4">
      <c r="A807" s="6" t="s">
        <v>193</v>
      </c>
      <c r="B807">
        <v>100</v>
      </c>
    </row>
    <row r="809" spans="1:4">
      <c r="A809" s="3" t="s">
        <v>19</v>
      </c>
      <c r="B809">
        <v>22.216542972205104</v>
      </c>
    </row>
    <row r="810" spans="1:4">
      <c r="A810" t="s">
        <v>20</v>
      </c>
      <c r="B810">
        <v>5.6038816660877233E-2</v>
      </c>
    </row>
    <row r="811" spans="1:4">
      <c r="A811" s="1" t="s">
        <v>23</v>
      </c>
      <c r="B811">
        <v>0.23672519228184657</v>
      </c>
    </row>
    <row r="812" spans="1:4">
      <c r="A812" s="1" t="s">
        <v>24</v>
      </c>
      <c r="B812">
        <v>0.16738998874018307</v>
      </c>
    </row>
    <row r="813" spans="1:4">
      <c r="A813" s="1" t="s">
        <v>21</v>
      </c>
      <c r="B813">
        <v>132.72324790396425</v>
      </c>
    </row>
    <row r="814" spans="1:4">
      <c r="A814" s="3" t="s">
        <v>22</v>
      </c>
      <c r="B814">
        <f>TDIST(ABS(B813),1,1)</f>
        <v>2.3982525145817743E-3</v>
      </c>
    </row>
    <row r="816" spans="1:4">
      <c r="A816" s="2" t="s">
        <v>1862</v>
      </c>
    </row>
    <row r="817" spans="1:7">
      <c r="A817" s="3" t="s">
        <v>7</v>
      </c>
      <c r="B817" s="3" t="s">
        <v>8</v>
      </c>
      <c r="C817" s="3" t="s">
        <v>9</v>
      </c>
      <c r="D817" s="3" t="s">
        <v>10</v>
      </c>
      <c r="E817" s="3" t="s">
        <v>11</v>
      </c>
      <c r="F817" s="3" t="s">
        <v>12</v>
      </c>
      <c r="G817" s="3" t="s">
        <v>13</v>
      </c>
    </row>
    <row r="818" spans="1:7">
      <c r="A818" s="1" t="s">
        <v>1400</v>
      </c>
      <c r="B818">
        <v>385.79439252336454</v>
      </c>
      <c r="C818">
        <v>330.37166812664253</v>
      </c>
      <c r="D818">
        <v>306.94462207443405</v>
      </c>
    </row>
    <row r="819" spans="1:7">
      <c r="A819" s="1" t="s">
        <v>1402</v>
      </c>
      <c r="B819">
        <v>337.53578783464769</v>
      </c>
      <c r="C819">
        <v>322.34432234432234</v>
      </c>
      <c r="D819">
        <v>315.59173450219163</v>
      </c>
    </row>
    <row r="820" spans="1:7">
      <c r="A820" s="1"/>
    </row>
    <row r="821" spans="1:7">
      <c r="A821" s="4" t="s">
        <v>18</v>
      </c>
      <c r="B821">
        <v>2</v>
      </c>
    </row>
    <row r="822" spans="1:7">
      <c r="A822" s="3" t="s">
        <v>191</v>
      </c>
      <c r="B822">
        <v>2</v>
      </c>
    </row>
    <row r="823" spans="1:7">
      <c r="A823" s="3" t="s">
        <v>192</v>
      </c>
      <c r="B823">
        <v>0</v>
      </c>
    </row>
    <row r="824" spans="1:7">
      <c r="A824" s="6" t="s">
        <v>193</v>
      </c>
      <c r="B824">
        <v>100</v>
      </c>
    </row>
    <row r="826" spans="1:7">
      <c r="A826" s="4" t="s">
        <v>19</v>
      </c>
      <c r="B826">
        <v>15.089816947169595</v>
      </c>
    </row>
    <row r="827" spans="1:7">
      <c r="A827" s="1" t="s">
        <v>20</v>
      </c>
      <c r="B827">
        <v>139.01877829981504</v>
      </c>
    </row>
    <row r="828" spans="1:7">
      <c r="A828" s="1" t="s">
        <v>23</v>
      </c>
      <c r="B828">
        <v>11.790622472957695</v>
      </c>
    </row>
    <row r="829" spans="1:7">
      <c r="A829" s="1" t="s">
        <v>24</v>
      </c>
      <c r="B829">
        <v>8.3372291050388867</v>
      </c>
    </row>
    <row r="830" spans="1:7">
      <c r="A830" t="s">
        <v>21</v>
      </c>
      <c r="B830">
        <v>1.8099319038803376</v>
      </c>
    </row>
    <row r="831" spans="1:7">
      <c r="A831" s="3" t="s">
        <v>22</v>
      </c>
      <c r="B831">
        <f>TDIST(ABS(B830),1,1)</f>
        <v>0.16067198036984609</v>
      </c>
    </row>
    <row r="833" spans="1:7">
      <c r="A833" s="2" t="s">
        <v>1863</v>
      </c>
    </row>
    <row r="834" spans="1:7">
      <c r="A834" s="4" t="s">
        <v>7</v>
      </c>
      <c r="B834" s="3" t="s">
        <v>8</v>
      </c>
      <c r="C834" s="3" t="s">
        <v>9</v>
      </c>
      <c r="D834" s="3" t="s">
        <v>10</v>
      </c>
      <c r="E834" s="3" t="s">
        <v>11</v>
      </c>
      <c r="F834" s="3" t="s">
        <v>12</v>
      </c>
      <c r="G834" s="3" t="s">
        <v>13</v>
      </c>
    </row>
    <row r="835" spans="1:7">
      <c r="A835" t="s">
        <v>1401</v>
      </c>
      <c r="B835">
        <v>374.11374264594957</v>
      </c>
      <c r="C835">
        <v>332.32992173389528</v>
      </c>
      <c r="D835">
        <v>281.23843591957569</v>
      </c>
    </row>
    <row r="836" spans="1:7">
      <c r="A836" t="s">
        <v>1403</v>
      </c>
      <c r="B836">
        <v>340.13393465227932</v>
      </c>
      <c r="C836">
        <v>305.34351145038164</v>
      </c>
      <c r="D836">
        <v>282.21314519123655</v>
      </c>
    </row>
    <row r="838" spans="1:7">
      <c r="A838" s="3" t="s">
        <v>18</v>
      </c>
      <c r="B838">
        <v>2</v>
      </c>
    </row>
    <row r="839" spans="1:7">
      <c r="A839" s="4" t="s">
        <v>191</v>
      </c>
      <c r="B839">
        <v>2</v>
      </c>
    </row>
    <row r="840" spans="1:7">
      <c r="A840" s="4" t="s">
        <v>192</v>
      </c>
      <c r="B840">
        <v>0</v>
      </c>
    </row>
    <row r="841" spans="1:7">
      <c r="A841" s="6" t="s">
        <v>193</v>
      </c>
      <c r="B841">
        <v>100</v>
      </c>
    </row>
    <row r="843" spans="1:7">
      <c r="A843" s="3" t="s">
        <v>19</v>
      </c>
      <c r="B843">
        <v>37.110926036732337</v>
      </c>
    </row>
    <row r="844" spans="1:7">
      <c r="A844" t="s">
        <v>20</v>
      </c>
      <c r="B844">
        <v>390.91210338938066</v>
      </c>
    </row>
    <row r="845" spans="1:7">
      <c r="A845" s="1" t="s">
        <v>23</v>
      </c>
      <c r="B845">
        <v>19.771497247031665</v>
      </c>
    </row>
    <row r="846" spans="1:7">
      <c r="A846" t="s">
        <v>24</v>
      </c>
      <c r="B846">
        <v>13.980559777587246</v>
      </c>
    </row>
    <row r="847" spans="1:7">
      <c r="A847" t="s">
        <v>21</v>
      </c>
      <c r="B847">
        <v>2.6544663895523155</v>
      </c>
    </row>
    <row r="848" spans="1:7">
      <c r="A848" s="3" t="s">
        <v>22</v>
      </c>
      <c r="B848">
        <f>TDIST(ABS(B847),1,1)</f>
        <v>0.11468096282143427</v>
      </c>
    </row>
    <row r="850" spans="1:7">
      <c r="A850" s="5" t="s">
        <v>1864</v>
      </c>
    </row>
    <row r="851" spans="1:7">
      <c r="A851" s="4" t="s">
        <v>7</v>
      </c>
      <c r="B851" s="3" t="s">
        <v>8</v>
      </c>
      <c r="C851" s="3" t="s">
        <v>9</v>
      </c>
      <c r="D851" s="3" t="s">
        <v>10</v>
      </c>
      <c r="E851" s="3" t="s">
        <v>11</v>
      </c>
      <c r="F851" s="3" t="s">
        <v>12</v>
      </c>
      <c r="G851" s="3" t="s">
        <v>13</v>
      </c>
    </row>
    <row r="852" spans="1:7">
      <c r="A852" s="1" t="s">
        <v>1404</v>
      </c>
      <c r="B852">
        <v>339.54373481768903</v>
      </c>
      <c r="C852">
        <v>300.67652217489348</v>
      </c>
      <c r="D852">
        <v>319.14893617021278</v>
      </c>
    </row>
    <row r="853" spans="1:7">
      <c r="A853" s="1" t="s">
        <v>1405</v>
      </c>
      <c r="B853">
        <v>340.4041671896573</v>
      </c>
      <c r="C853">
        <v>322.2094361334868</v>
      </c>
      <c r="D853">
        <v>305.14939605848696</v>
      </c>
    </row>
    <row r="855" spans="1:7">
      <c r="A855" s="3" t="s">
        <v>18</v>
      </c>
      <c r="B855">
        <v>2</v>
      </c>
    </row>
    <row r="856" spans="1:7">
      <c r="A856" s="3" t="s">
        <v>191</v>
      </c>
      <c r="B856">
        <v>1</v>
      </c>
    </row>
    <row r="857" spans="1:7">
      <c r="A857" s="3" t="s">
        <v>192</v>
      </c>
      <c r="B857">
        <v>1</v>
      </c>
    </row>
    <row r="858" spans="1:7">
      <c r="A858" s="6" t="s">
        <v>193</v>
      </c>
      <c r="B858">
        <v>50</v>
      </c>
    </row>
    <row r="859" spans="1:7">
      <c r="A859" s="1"/>
    </row>
    <row r="860" spans="1:7">
      <c r="A860" s="4" t="s">
        <v>19</v>
      </c>
      <c r="B860">
        <v>-0.7061869601597266</v>
      </c>
    </row>
    <row r="861" spans="1:7">
      <c r="A861" s="1" t="s">
        <v>20</v>
      </c>
      <c r="B861">
        <v>631.27764612966985</v>
      </c>
    </row>
    <row r="862" spans="1:7">
      <c r="A862" s="1" t="s">
        <v>23</v>
      </c>
      <c r="B862">
        <v>25.125239225322211</v>
      </c>
    </row>
    <row r="863" spans="1:7">
      <c r="A863" s="1" t="s">
        <v>24</v>
      </c>
      <c r="B863">
        <v>17.766227035159574</v>
      </c>
    </row>
    <row r="864" spans="1:7">
      <c r="A864" s="1" t="s">
        <v>21</v>
      </c>
      <c r="B864">
        <v>-3.9748842495492952E-2</v>
      </c>
    </row>
    <row r="865" spans="1:7">
      <c r="A865" s="4" t="s">
        <v>22</v>
      </c>
      <c r="B865">
        <f>TDIST(ABS(B864),1,1)</f>
        <v>0.4873542076606503</v>
      </c>
    </row>
    <row r="867" spans="1:7">
      <c r="A867" s="2" t="s">
        <v>1865</v>
      </c>
    </row>
    <row r="868" spans="1:7">
      <c r="A868" s="3" t="s">
        <v>7</v>
      </c>
      <c r="B868" s="3" t="s">
        <v>8</v>
      </c>
      <c r="C868" s="3" t="s">
        <v>9</v>
      </c>
      <c r="D868" s="3" t="s">
        <v>10</v>
      </c>
      <c r="E868" s="3" t="s">
        <v>11</v>
      </c>
      <c r="F868" s="3" t="s">
        <v>12</v>
      </c>
      <c r="G868" s="3" t="s">
        <v>13</v>
      </c>
    </row>
    <row r="869" spans="1:7">
      <c r="A869" t="s">
        <v>1406</v>
      </c>
      <c r="B869">
        <v>347.7391956032975</v>
      </c>
      <c r="C869">
        <v>316.98113207547169</v>
      </c>
      <c r="D869">
        <v>298.39612085042893</v>
      </c>
    </row>
    <row r="870" spans="1:7">
      <c r="A870" s="1" t="s">
        <v>1407</v>
      </c>
      <c r="B870">
        <v>342.86573598335798</v>
      </c>
      <c r="C870">
        <v>341.20410433922609</v>
      </c>
      <c r="D870">
        <v>306.75593426658554</v>
      </c>
    </row>
    <row r="871" spans="1:7">
      <c r="A871" s="1"/>
    </row>
    <row r="872" spans="1:7">
      <c r="A872" s="4" t="s">
        <v>18</v>
      </c>
      <c r="B872">
        <v>2</v>
      </c>
    </row>
    <row r="873" spans="1:7">
      <c r="A873" s="4" t="s">
        <v>191</v>
      </c>
      <c r="B873">
        <v>2</v>
      </c>
    </row>
    <row r="874" spans="1:7">
      <c r="A874" s="4" t="s">
        <v>192</v>
      </c>
      <c r="B874">
        <v>0</v>
      </c>
    </row>
    <row r="875" spans="1:7">
      <c r="A875" s="6" t="s">
        <v>193</v>
      </c>
      <c r="B875">
        <v>100</v>
      </c>
    </row>
    <row r="876" spans="1:7">
      <c r="A876" s="1"/>
    </row>
    <row r="877" spans="1:7">
      <c r="A877" s="3" t="s">
        <v>19</v>
      </c>
      <c r="B877">
        <v>26.516590648841657</v>
      </c>
    </row>
    <row r="878" spans="1:7">
      <c r="A878" t="s">
        <v>20</v>
      </c>
      <c r="B878">
        <v>125.81990431205999</v>
      </c>
    </row>
    <row r="879" spans="1:7">
      <c r="A879" t="s">
        <v>23</v>
      </c>
      <c r="B879">
        <v>11.216947192175775</v>
      </c>
    </row>
    <row r="880" spans="1:7">
      <c r="A880" t="s">
        <v>24</v>
      </c>
      <c r="B880">
        <v>7.9315794237988939</v>
      </c>
    </row>
    <row r="881" spans="1:7">
      <c r="A881" s="1" t="s">
        <v>21</v>
      </c>
      <c r="B881">
        <v>3.3431665034177169</v>
      </c>
    </row>
    <row r="882" spans="1:7">
      <c r="A882" s="3" t="s">
        <v>22</v>
      </c>
      <c r="B882">
        <f>TDIST(ABS(B881),1,1)</f>
        <v>9.2515836691597256E-2</v>
      </c>
    </row>
    <row r="884" spans="1:7">
      <c r="A884" s="2" t="s">
        <v>1866</v>
      </c>
    </row>
    <row r="885" spans="1:7">
      <c r="A885" s="3" t="s">
        <v>7</v>
      </c>
      <c r="B885" s="3" t="s">
        <v>8</v>
      </c>
      <c r="C885" s="3" t="s">
        <v>9</v>
      </c>
      <c r="D885" s="3" t="s">
        <v>10</v>
      </c>
      <c r="E885" s="3" t="s">
        <v>11</v>
      </c>
      <c r="F885" s="3" t="s">
        <v>12</v>
      </c>
      <c r="G885" s="3" t="s">
        <v>13</v>
      </c>
    </row>
    <row r="886" spans="1:7">
      <c r="A886" s="1" t="s">
        <v>1408</v>
      </c>
      <c r="B886">
        <v>348.64663521231682</v>
      </c>
      <c r="C886">
        <v>393.54187689202826</v>
      </c>
      <c r="D886">
        <v>343.92523364485982</v>
      </c>
    </row>
    <row r="887" spans="1:7">
      <c r="A887" s="1" t="s">
        <v>1410</v>
      </c>
      <c r="B887">
        <v>351.32497560243223</v>
      </c>
      <c r="C887">
        <v>314.41048034934499</v>
      </c>
      <c r="D887">
        <v>304.31107354184275</v>
      </c>
    </row>
    <row r="888" spans="1:7">
      <c r="A888" s="1"/>
    </row>
    <row r="889" spans="1:7">
      <c r="A889" s="4" t="s">
        <v>18</v>
      </c>
      <c r="B889">
        <v>2</v>
      </c>
    </row>
    <row r="890" spans="1:7">
      <c r="A890" s="3" t="s">
        <v>191</v>
      </c>
      <c r="B890">
        <v>2</v>
      </c>
    </row>
    <row r="891" spans="1:7">
      <c r="A891" s="3" t="s">
        <v>192</v>
      </c>
      <c r="B891">
        <v>0</v>
      </c>
    </row>
    <row r="892" spans="1:7">
      <c r="A892" s="6" t="s">
        <v>193</v>
      </c>
      <c r="B892">
        <v>100</v>
      </c>
    </row>
    <row r="894" spans="1:7">
      <c r="A894" s="4" t="s">
        <v>19</v>
      </c>
      <c r="B894">
        <v>29.858025027335344</v>
      </c>
    </row>
    <row r="895" spans="1:7">
      <c r="A895" s="1" t="s">
        <v>20</v>
      </c>
      <c r="B895">
        <v>780.80598791424075</v>
      </c>
    </row>
    <row r="896" spans="1:7">
      <c r="A896" s="1" t="s">
        <v>23</v>
      </c>
      <c r="B896">
        <v>27.942905860240103</v>
      </c>
    </row>
    <row r="897" spans="1:7">
      <c r="A897" s="1" t="s">
        <v>24</v>
      </c>
      <c r="B897">
        <v>19.758618219833096</v>
      </c>
    </row>
    <row r="898" spans="1:7">
      <c r="A898" t="s">
        <v>21</v>
      </c>
      <c r="B898">
        <v>1.511139326401113</v>
      </c>
    </row>
    <row r="899" spans="1:7">
      <c r="A899" s="3" t="s">
        <v>22</v>
      </c>
      <c r="B899">
        <f>TDIST(ABS(B898),1,1)</f>
        <v>0.18608162400147593</v>
      </c>
    </row>
    <row r="901" spans="1:7">
      <c r="A901" s="2" t="s">
        <v>1867</v>
      </c>
    </row>
    <row r="902" spans="1:7">
      <c r="A902" s="3" t="s">
        <v>7</v>
      </c>
      <c r="B902" s="3" t="s">
        <v>8</v>
      </c>
      <c r="C902" s="3" t="s">
        <v>9</v>
      </c>
      <c r="D902" s="3" t="s">
        <v>10</v>
      </c>
      <c r="E902" s="3" t="s">
        <v>11</v>
      </c>
      <c r="F902" s="3" t="s">
        <v>12</v>
      </c>
      <c r="G902" s="3" t="s">
        <v>13</v>
      </c>
    </row>
    <row r="903" spans="1:7">
      <c r="A903" t="s">
        <v>1409</v>
      </c>
      <c r="B903">
        <v>339.95186522262338</v>
      </c>
      <c r="C903">
        <v>313.54983202687566</v>
      </c>
      <c r="D903">
        <v>318.03397181062525</v>
      </c>
    </row>
    <row r="904" spans="1:7">
      <c r="A904" t="s">
        <v>1411</v>
      </c>
      <c r="B904">
        <v>344.27701826165054</v>
      </c>
      <c r="C904">
        <v>318.74525676701239</v>
      </c>
      <c r="D904">
        <v>319.84492367337049</v>
      </c>
    </row>
    <row r="906" spans="1:7">
      <c r="A906" s="3" t="s">
        <v>18</v>
      </c>
      <c r="B906">
        <v>2</v>
      </c>
    </row>
    <row r="907" spans="1:7">
      <c r="A907" s="3" t="s">
        <v>191</v>
      </c>
      <c r="B907">
        <v>0</v>
      </c>
    </row>
    <row r="908" spans="1:7">
      <c r="A908" s="3" t="s">
        <v>192</v>
      </c>
      <c r="B908">
        <v>2</v>
      </c>
    </row>
    <row r="909" spans="1:7">
      <c r="A909" s="6" t="s">
        <v>193</v>
      </c>
      <c r="B909">
        <v>0</v>
      </c>
    </row>
    <row r="911" spans="1:7">
      <c r="A911" s="3" t="s">
        <v>19</v>
      </c>
      <c r="B911">
        <v>-2.7919033450538393</v>
      </c>
    </row>
    <row r="912" spans="1:7">
      <c r="A912" t="s">
        <v>20</v>
      </c>
      <c r="B912">
        <v>5.7273283288993095</v>
      </c>
    </row>
    <row r="913" spans="1:7">
      <c r="A913" t="s">
        <v>23</v>
      </c>
      <c r="B913">
        <v>2.3931837223454679</v>
      </c>
    </row>
    <row r="914" spans="1:7">
      <c r="A914" t="s">
        <v>24</v>
      </c>
      <c r="B914">
        <v>1.692236438695744</v>
      </c>
    </row>
    <row r="915" spans="1:7">
      <c r="A915" t="s">
        <v>21</v>
      </c>
      <c r="B915">
        <v>-1.6498305326681422</v>
      </c>
    </row>
    <row r="916" spans="1:7">
      <c r="A916" s="3" t="s">
        <v>22</v>
      </c>
      <c r="B916">
        <f>TDIST(ABS(B915),1,1)</f>
        <v>0.17345006307156349</v>
      </c>
    </row>
    <row r="918" spans="1:7">
      <c r="A918" s="2" t="s">
        <v>1868</v>
      </c>
    </row>
    <row r="919" spans="1:7">
      <c r="A919" s="3" t="s">
        <v>7</v>
      </c>
      <c r="B919" s="3" t="s">
        <v>8</v>
      </c>
      <c r="C919" s="3" t="s">
        <v>9</v>
      </c>
      <c r="D919" s="3" t="s">
        <v>10</v>
      </c>
      <c r="E919" s="3" t="s">
        <v>11</v>
      </c>
      <c r="F919" s="3" t="s">
        <v>12</v>
      </c>
      <c r="G919" s="3" t="s">
        <v>13</v>
      </c>
    </row>
    <row r="920" spans="1:7">
      <c r="A920" t="s">
        <v>1412</v>
      </c>
      <c r="B920" t="e">
        <f>NA()</f>
        <v>#N/A</v>
      </c>
      <c r="C920">
        <v>334.38885370487651</v>
      </c>
      <c r="D920">
        <v>326.12723903644229</v>
      </c>
      <c r="E920" t="s">
        <v>15</v>
      </c>
    </row>
    <row r="921" spans="1:7">
      <c r="A921" t="s">
        <v>1415</v>
      </c>
      <c r="B921">
        <v>329.20168591166419</v>
      </c>
      <c r="C921">
        <v>321.83347555772281</v>
      </c>
      <c r="D921">
        <v>301.54542027892956</v>
      </c>
    </row>
    <row r="923" spans="1:7">
      <c r="A923" s="3" t="s">
        <v>18</v>
      </c>
      <c r="B923">
        <v>2</v>
      </c>
    </row>
    <row r="924" spans="1:7">
      <c r="A924" s="3" t="s">
        <v>191</v>
      </c>
      <c r="B924">
        <v>2</v>
      </c>
    </row>
    <row r="925" spans="1:7">
      <c r="A925" s="3" t="s">
        <v>192</v>
      </c>
      <c r="B925">
        <v>0</v>
      </c>
    </row>
    <row r="926" spans="1:7">
      <c r="A926" s="6" t="s">
        <v>193</v>
      </c>
      <c r="B926">
        <v>100</v>
      </c>
    </row>
    <row r="928" spans="1:7">
      <c r="A928" s="3" t="s">
        <v>19</v>
      </c>
      <c r="B928">
        <v>14.274834973613736</v>
      </c>
    </row>
    <row r="929" spans="1:7">
      <c r="A929" t="s">
        <v>20</v>
      </c>
      <c r="B929">
        <v>72.317636877246457</v>
      </c>
    </row>
    <row r="930" spans="1:7">
      <c r="A930" t="s">
        <v>23</v>
      </c>
      <c r="B930">
        <v>8.503977709122152</v>
      </c>
    </row>
    <row r="931" spans="1:7">
      <c r="A931" t="s">
        <v>24</v>
      </c>
      <c r="B931">
        <v>6.0132203051795159</v>
      </c>
    </row>
    <row r="932" spans="1:7">
      <c r="A932" t="s">
        <v>21</v>
      </c>
      <c r="B932">
        <v>2.3739085297304072</v>
      </c>
    </row>
    <row r="933" spans="1:7">
      <c r="A933" s="3" t="s">
        <v>22</v>
      </c>
      <c r="B933">
        <f>TDIST(ABS(B932),1,1)</f>
        <v>0.1269059729636958</v>
      </c>
    </row>
    <row r="935" spans="1:7">
      <c r="A935" s="2" t="s">
        <v>1869</v>
      </c>
    </row>
    <row r="936" spans="1:7">
      <c r="A936" s="3" t="s">
        <v>7</v>
      </c>
      <c r="B936" s="3" t="s">
        <v>8</v>
      </c>
      <c r="C936" s="3" t="s">
        <v>9</v>
      </c>
      <c r="D936" s="3" t="s">
        <v>10</v>
      </c>
      <c r="E936" s="3" t="s">
        <v>11</v>
      </c>
      <c r="F936" s="3" t="s">
        <v>12</v>
      </c>
      <c r="G936" s="3" t="s">
        <v>13</v>
      </c>
    </row>
    <row r="937" spans="1:7">
      <c r="A937" t="s">
        <v>1413</v>
      </c>
      <c r="B937">
        <v>330.61991233562929</v>
      </c>
      <c r="C937">
        <v>319.14893617021278</v>
      </c>
      <c r="D937">
        <v>301.69704588309241</v>
      </c>
    </row>
    <row r="938" spans="1:7">
      <c r="A938" t="s">
        <v>1414</v>
      </c>
      <c r="B938">
        <v>314.81974278716308</v>
      </c>
      <c r="C938">
        <v>315.90823617901464</v>
      </c>
      <c r="D938">
        <v>303.79746835443041</v>
      </c>
    </row>
    <row r="940" spans="1:7">
      <c r="A940" s="3" t="s">
        <v>18</v>
      </c>
      <c r="B940">
        <v>2</v>
      </c>
    </row>
    <row r="941" spans="1:7">
      <c r="A941" s="3" t="s">
        <v>191</v>
      </c>
      <c r="B941">
        <v>2</v>
      </c>
    </row>
    <row r="942" spans="1:7">
      <c r="A942" s="3" t="s">
        <v>192</v>
      </c>
      <c r="B942">
        <v>0</v>
      </c>
    </row>
    <row r="943" spans="1:7">
      <c r="A943" s="6" t="s">
        <v>193</v>
      </c>
      <c r="B943">
        <v>100</v>
      </c>
    </row>
    <row r="945" spans="1:7">
      <c r="A945" s="3" t="s">
        <v>19</v>
      </c>
      <c r="B945">
        <v>14.781329055852297</v>
      </c>
    </row>
    <row r="946" spans="1:7">
      <c r="A946" t="s">
        <v>20</v>
      </c>
      <c r="B946">
        <v>14.26379457990403</v>
      </c>
    </row>
    <row r="947" spans="1:7">
      <c r="A947" t="s">
        <v>23</v>
      </c>
      <c r="B947">
        <v>3.7767439124070923</v>
      </c>
    </row>
    <row r="948" spans="1:7">
      <c r="A948" t="s">
        <v>24</v>
      </c>
      <c r="B948">
        <v>2.6705612312680671</v>
      </c>
    </row>
    <row r="949" spans="1:7">
      <c r="A949" t="s">
        <v>21</v>
      </c>
      <c r="B949">
        <v>5.5349148646307773</v>
      </c>
    </row>
    <row r="950" spans="1:7">
      <c r="A950" s="3" t="s">
        <v>22</v>
      </c>
      <c r="B950">
        <f>TDIST(ABS(B949),1,1)</f>
        <v>5.6895679358936344E-2</v>
      </c>
    </row>
    <row r="952" spans="1:7">
      <c r="A952" s="2" t="s">
        <v>1870</v>
      </c>
    </row>
    <row r="953" spans="1:7">
      <c r="A953" s="3" t="s">
        <v>7</v>
      </c>
      <c r="B953" s="3" t="s">
        <v>8</v>
      </c>
      <c r="C953" s="3" t="s">
        <v>9</v>
      </c>
      <c r="D953" s="3" t="s">
        <v>10</v>
      </c>
      <c r="E953" s="3" t="s">
        <v>11</v>
      </c>
      <c r="F953" s="3" t="s">
        <v>12</v>
      </c>
      <c r="G953" s="3" t="s">
        <v>13</v>
      </c>
    </row>
    <row r="954" spans="1:7">
      <c r="A954" t="s">
        <v>1416</v>
      </c>
      <c r="B954" t="e">
        <f>NA()</f>
        <v>#N/A</v>
      </c>
      <c r="C954">
        <v>300.8272750062672</v>
      </c>
      <c r="D954" t="e">
        <f>NA()</f>
        <v>#N/A</v>
      </c>
      <c r="E954" t="s">
        <v>29</v>
      </c>
      <c r="G954" t="s">
        <v>17</v>
      </c>
    </row>
    <row r="955" spans="1:7">
      <c r="A955" t="s">
        <v>1417</v>
      </c>
      <c r="B955">
        <v>311.99220019499512</v>
      </c>
      <c r="C955">
        <v>282.21314519123655</v>
      </c>
      <c r="D955">
        <v>281.23843591957569</v>
      </c>
    </row>
    <row r="957" spans="1:7">
      <c r="A957" s="3" t="s">
        <v>18</v>
      </c>
      <c r="B957">
        <v>1</v>
      </c>
    </row>
    <row r="958" spans="1:7">
      <c r="A958" s="3" t="s">
        <v>191</v>
      </c>
      <c r="B958">
        <v>1</v>
      </c>
    </row>
    <row r="959" spans="1:7">
      <c r="A959" s="3" t="s">
        <v>192</v>
      </c>
      <c r="B959">
        <v>0</v>
      </c>
    </row>
    <row r="960" spans="1:7">
      <c r="A960" s="6" t="s">
        <v>193</v>
      </c>
      <c r="B960">
        <v>100</v>
      </c>
    </row>
    <row r="962" spans="1:7">
      <c r="A962" s="3" t="s">
        <v>19</v>
      </c>
      <c r="B962">
        <v>0.9747092716608563</v>
      </c>
    </row>
    <row r="963" spans="1:7">
      <c r="A963" t="s">
        <v>41</v>
      </c>
    </row>
    <row r="965" spans="1:7">
      <c r="A965" s="2" t="s">
        <v>1871</v>
      </c>
    </row>
    <row r="966" spans="1:7">
      <c r="A966" s="3" t="s">
        <v>7</v>
      </c>
      <c r="B966" s="3" t="s">
        <v>8</v>
      </c>
      <c r="C966" s="3" t="s">
        <v>9</v>
      </c>
      <c r="D966" s="3" t="s">
        <v>10</v>
      </c>
      <c r="E966" s="3" t="s">
        <v>11</v>
      </c>
      <c r="F966" s="3" t="s">
        <v>12</v>
      </c>
      <c r="G966" s="3" t="s">
        <v>13</v>
      </c>
    </row>
    <row r="967" spans="1:7">
      <c r="A967" t="s">
        <v>1418</v>
      </c>
      <c r="B967">
        <v>317.76961702765493</v>
      </c>
      <c r="C967">
        <v>309.31821110967911</v>
      </c>
      <c r="D967">
        <v>293.82957884427032</v>
      </c>
    </row>
    <row r="968" spans="1:7">
      <c r="A968" t="s">
        <v>1419</v>
      </c>
      <c r="B968">
        <v>318.21479498661597</v>
      </c>
      <c r="C968">
        <v>304.38458751056891</v>
      </c>
      <c r="D968">
        <v>299.21456177533975</v>
      </c>
    </row>
    <row r="970" spans="1:7">
      <c r="A970" s="3" t="s">
        <v>18</v>
      </c>
      <c r="B970">
        <v>2</v>
      </c>
    </row>
    <row r="971" spans="1:7">
      <c r="A971" s="3" t="s">
        <v>191</v>
      </c>
      <c r="B971">
        <v>2</v>
      </c>
    </row>
    <row r="972" spans="1:7">
      <c r="A972" s="3" t="s">
        <v>192</v>
      </c>
      <c r="B972">
        <v>0</v>
      </c>
    </row>
    <row r="973" spans="1:7">
      <c r="A973" s="6" t="s">
        <v>193</v>
      </c>
      <c r="B973">
        <v>100</v>
      </c>
    </row>
    <row r="975" spans="1:7">
      <c r="A975" s="3" t="s">
        <v>19</v>
      </c>
      <c r="B975">
        <v>10.329329000318978</v>
      </c>
    </row>
    <row r="976" spans="1:7">
      <c r="A976" t="s">
        <v>20</v>
      </c>
      <c r="B976">
        <v>53.236820362332914</v>
      </c>
    </row>
    <row r="977" spans="1:7">
      <c r="A977" t="s">
        <v>23</v>
      </c>
      <c r="B977">
        <v>7.2963566498858121</v>
      </c>
    </row>
    <row r="978" spans="1:7">
      <c r="A978" t="s">
        <v>24</v>
      </c>
      <c r="B978">
        <v>5.1593032650898181</v>
      </c>
    </row>
    <row r="979" spans="1:7">
      <c r="A979" t="s">
        <v>21</v>
      </c>
      <c r="B979">
        <v>2.0020782787109832</v>
      </c>
    </row>
    <row r="980" spans="1:7">
      <c r="A980" s="3" t="s">
        <v>22</v>
      </c>
      <c r="B980">
        <f>TDIST(ABS(B979),1,1)</f>
        <v>0.14745142017695026</v>
      </c>
    </row>
    <row r="982" spans="1:7">
      <c r="A982" s="2" t="s">
        <v>1872</v>
      </c>
    </row>
    <row r="983" spans="1:7">
      <c r="A983" s="3" t="s">
        <v>7</v>
      </c>
      <c r="B983" s="3" t="s">
        <v>8</v>
      </c>
      <c r="C983" s="3" t="s">
        <v>9</v>
      </c>
      <c r="D983" s="3" t="s">
        <v>10</v>
      </c>
      <c r="E983" s="3" t="s">
        <v>11</v>
      </c>
      <c r="F983" s="3" t="s">
        <v>12</v>
      </c>
      <c r="G983" s="3" t="s">
        <v>13</v>
      </c>
    </row>
    <row r="984" spans="1:7">
      <c r="A984" t="s">
        <v>1420</v>
      </c>
      <c r="B984">
        <v>324.24318238679007</v>
      </c>
      <c r="C984">
        <v>302.99204645878046</v>
      </c>
      <c r="D984">
        <v>304.09074453964041</v>
      </c>
    </row>
    <row r="985" spans="1:7">
      <c r="A985" t="s">
        <v>1422</v>
      </c>
      <c r="B985">
        <v>303.90411474135556</v>
      </c>
      <c r="C985">
        <v>302.03876164107731</v>
      </c>
      <c r="D985">
        <v>294.91275497665276</v>
      </c>
    </row>
    <row r="987" spans="1:7">
      <c r="A987" s="3" t="s">
        <v>18</v>
      </c>
      <c r="B987">
        <v>2</v>
      </c>
    </row>
    <row r="988" spans="1:7">
      <c r="A988" s="3" t="s">
        <v>191</v>
      </c>
      <c r="B988">
        <v>1</v>
      </c>
    </row>
    <row r="989" spans="1:7">
      <c r="A989" s="3" t="s">
        <v>192</v>
      </c>
      <c r="B989">
        <v>1</v>
      </c>
    </row>
    <row r="990" spans="1:7">
      <c r="A990" s="6" t="s">
        <v>193</v>
      </c>
      <c r="B990">
        <v>50</v>
      </c>
    </row>
    <row r="992" spans="1:7">
      <c r="A992" s="3" t="s">
        <v>19</v>
      </c>
      <c r="B992">
        <v>3.0136542917823022</v>
      </c>
    </row>
    <row r="993" spans="1:7">
      <c r="A993" t="s">
        <v>20</v>
      </c>
      <c r="B993">
        <v>33.822884073552672</v>
      </c>
    </row>
    <row r="994" spans="1:7">
      <c r="A994" t="s">
        <v>23</v>
      </c>
      <c r="B994">
        <v>5.8157444986478444</v>
      </c>
    </row>
    <row r="995" spans="1:7">
      <c r="A995" t="s">
        <v>24</v>
      </c>
      <c r="B995">
        <v>4.1123523726422491</v>
      </c>
    </row>
    <row r="996" spans="1:7">
      <c r="A996" t="s">
        <v>21</v>
      </c>
      <c r="B996">
        <v>0.73282978176453861</v>
      </c>
    </row>
    <row r="997" spans="1:7">
      <c r="A997" s="3" t="s">
        <v>22</v>
      </c>
      <c r="B997">
        <f>TDIST(ABS(B996),1,1)</f>
        <v>0.29869404734022126</v>
      </c>
    </row>
    <row r="999" spans="1:7">
      <c r="A999" s="2" t="s">
        <v>1873</v>
      </c>
    </row>
    <row r="1000" spans="1:7">
      <c r="A1000" s="3" t="s">
        <v>7</v>
      </c>
      <c r="B1000" s="3" t="s">
        <v>8</v>
      </c>
      <c r="C1000" s="3" t="s">
        <v>9</v>
      </c>
      <c r="D1000" s="3" t="s">
        <v>10</v>
      </c>
      <c r="E1000" s="3" t="s">
        <v>11</v>
      </c>
      <c r="F1000" s="3" t="s">
        <v>12</v>
      </c>
      <c r="G1000" s="3" t="s">
        <v>13</v>
      </c>
    </row>
    <row r="1001" spans="1:7">
      <c r="A1001" t="s">
        <v>1421</v>
      </c>
      <c r="B1001">
        <v>331.81376578731033</v>
      </c>
      <c r="C1001">
        <v>295.78506285432582</v>
      </c>
      <c r="D1001">
        <v>280.85735402808575</v>
      </c>
    </row>
    <row r="1002" spans="1:7">
      <c r="A1002" t="s">
        <v>1423</v>
      </c>
      <c r="B1002">
        <v>318.80819366852887</v>
      </c>
      <c r="C1002">
        <v>307.54210397852086</v>
      </c>
      <c r="D1002">
        <v>286.4321608040201</v>
      </c>
    </row>
    <row r="1004" spans="1:7">
      <c r="A1004" s="3" t="s">
        <v>18</v>
      </c>
      <c r="B1004">
        <v>2</v>
      </c>
    </row>
    <row r="1005" spans="1:7">
      <c r="A1005" s="3" t="s">
        <v>191</v>
      </c>
      <c r="B1005">
        <v>2</v>
      </c>
    </row>
    <row r="1006" spans="1:7">
      <c r="A1006" s="3" t="s">
        <v>192</v>
      </c>
      <c r="B1006">
        <v>0</v>
      </c>
    </row>
    <row r="1007" spans="1:7">
      <c r="A1007" s="6" t="s">
        <v>193</v>
      </c>
      <c r="B1007">
        <v>100</v>
      </c>
    </row>
    <row r="1009" spans="1:7">
      <c r="A1009" s="3" t="s">
        <v>19</v>
      </c>
      <c r="B1009">
        <v>18.01882600037041</v>
      </c>
    </row>
    <row r="1010" spans="1:7">
      <c r="A1010" t="s">
        <v>20</v>
      </c>
      <c r="B1010">
        <v>19.110010768407154</v>
      </c>
    </row>
    <row r="1011" spans="1:7">
      <c r="A1011" t="s">
        <v>23</v>
      </c>
      <c r="B1011">
        <v>4.3714998305395314</v>
      </c>
    </row>
    <row r="1012" spans="1:7">
      <c r="A1012" t="s">
        <v>24</v>
      </c>
      <c r="B1012">
        <v>3.0911171741303463</v>
      </c>
    </row>
    <row r="1013" spans="1:7">
      <c r="A1013" t="s">
        <v>21</v>
      </c>
      <c r="B1013">
        <v>5.8292277469034541</v>
      </c>
    </row>
    <row r="1014" spans="1:7">
      <c r="A1014" s="3" t="s">
        <v>22</v>
      </c>
      <c r="B1014">
        <f>TDIST(ABS(B1013),1,1)</f>
        <v>5.4079437505697082E-2</v>
      </c>
    </row>
    <row r="1016" spans="1:7">
      <c r="A1016" s="2" t="s">
        <v>1874</v>
      </c>
    </row>
    <row r="1017" spans="1:7">
      <c r="A1017" s="3" t="s">
        <v>7</v>
      </c>
      <c r="B1017" s="3" t="s">
        <v>8</v>
      </c>
      <c r="C1017" s="3" t="s">
        <v>9</v>
      </c>
      <c r="D1017" s="3" t="s">
        <v>10</v>
      </c>
      <c r="E1017" s="3" t="s">
        <v>11</v>
      </c>
      <c r="F1017" s="3" t="s">
        <v>12</v>
      </c>
      <c r="G1017" s="3" t="s">
        <v>13</v>
      </c>
    </row>
    <row r="1018" spans="1:7">
      <c r="A1018" t="s">
        <v>1424</v>
      </c>
      <c r="B1018">
        <v>312.93096963466314</v>
      </c>
      <c r="C1018">
        <v>291.11338100102142</v>
      </c>
      <c r="D1018">
        <v>290.66802651708309</v>
      </c>
    </row>
    <row r="1019" spans="1:7">
      <c r="A1019" t="s">
        <v>1427</v>
      </c>
      <c r="B1019">
        <v>315.39424280350437</v>
      </c>
      <c r="C1019">
        <v>296.80930002473411</v>
      </c>
      <c r="D1019">
        <v>292.38266222108228</v>
      </c>
    </row>
    <row r="1021" spans="1:7">
      <c r="A1021" s="3" t="s">
        <v>18</v>
      </c>
      <c r="B1021">
        <v>2</v>
      </c>
    </row>
    <row r="1022" spans="1:7">
      <c r="A1022" s="3" t="s">
        <v>191</v>
      </c>
      <c r="B1022">
        <v>2</v>
      </c>
    </row>
    <row r="1023" spans="1:7">
      <c r="A1023" s="3" t="s">
        <v>192</v>
      </c>
      <c r="B1023">
        <v>0</v>
      </c>
    </row>
    <row r="1024" spans="1:7">
      <c r="A1024" s="6" t="s">
        <v>193</v>
      </c>
      <c r="B1024">
        <v>100</v>
      </c>
    </row>
    <row r="1026" spans="1:7">
      <c r="A1026" s="3" t="s">
        <v>19</v>
      </c>
      <c r="B1026">
        <v>2.4359961437950801</v>
      </c>
    </row>
    <row r="1027" spans="1:7">
      <c r="A1027" t="s">
        <v>20</v>
      </c>
      <c r="B1027">
        <v>7.9253084359144648</v>
      </c>
    </row>
    <row r="1028" spans="1:7">
      <c r="A1028" t="s">
        <v>23</v>
      </c>
      <c r="B1028">
        <v>2.8151924331943037</v>
      </c>
    </row>
    <row r="1029" spans="1:7">
      <c r="A1029" t="s">
        <v>24</v>
      </c>
      <c r="B1029">
        <v>1.9906416598567489</v>
      </c>
    </row>
    <row r="1030" spans="1:7">
      <c r="A1030" t="s">
        <v>21</v>
      </c>
      <c r="B1030">
        <v>1.2237240850120559</v>
      </c>
    </row>
    <row r="1031" spans="1:7">
      <c r="A1031" s="3" t="s">
        <v>22</v>
      </c>
      <c r="B1031">
        <f>TDIST(ABS(B1030),1,1)</f>
        <v>0.21808292673009713</v>
      </c>
    </row>
    <row r="1033" spans="1:7">
      <c r="A1033" s="2" t="s">
        <v>1875</v>
      </c>
    </row>
    <row r="1034" spans="1:7">
      <c r="A1034" s="3" t="s">
        <v>7</v>
      </c>
      <c r="B1034" s="3" t="s">
        <v>8</v>
      </c>
      <c r="C1034" s="3" t="s">
        <v>9</v>
      </c>
      <c r="D1034" s="3" t="s">
        <v>10</v>
      </c>
      <c r="E1034" s="3" t="s">
        <v>11</v>
      </c>
      <c r="F1034" s="3" t="s">
        <v>12</v>
      </c>
      <c r="G1034" s="3" t="s">
        <v>13</v>
      </c>
    </row>
    <row r="1035" spans="1:7">
      <c r="A1035" t="s">
        <v>1425</v>
      </c>
      <c r="B1035">
        <v>308.64505818308947</v>
      </c>
      <c r="C1035">
        <v>299.7377294866991</v>
      </c>
      <c r="D1035">
        <v>293.72169869049077</v>
      </c>
    </row>
    <row r="1036" spans="1:7">
      <c r="A1036" t="s">
        <v>1426</v>
      </c>
      <c r="B1036">
        <v>307.91460103136444</v>
      </c>
      <c r="C1036">
        <v>302.01342281879192</v>
      </c>
      <c r="D1036">
        <v>295.02151198524894</v>
      </c>
    </row>
    <row r="1038" spans="1:7">
      <c r="A1038" s="3" t="s">
        <v>18</v>
      </c>
      <c r="B1038">
        <v>2</v>
      </c>
    </row>
    <row r="1039" spans="1:7">
      <c r="A1039" s="3" t="s">
        <v>191</v>
      </c>
      <c r="B1039">
        <v>2</v>
      </c>
    </row>
    <row r="1040" spans="1:7">
      <c r="A1040" s="3" t="s">
        <v>192</v>
      </c>
      <c r="B1040">
        <v>0</v>
      </c>
    </row>
    <row r="1041" spans="1:7">
      <c r="A1041" s="6" t="s">
        <v>193</v>
      </c>
      <c r="B1041">
        <v>100</v>
      </c>
    </row>
    <row r="1043" spans="1:7">
      <c r="A1043" s="3" t="s">
        <v>19</v>
      </c>
      <c r="B1043">
        <v>6.5039708148756574</v>
      </c>
    </row>
    <row r="1044" spans="1:7">
      <c r="A1044" t="s">
        <v>20</v>
      </c>
      <c r="B1044">
        <v>0.47617092363415031</v>
      </c>
    </row>
    <row r="1045" spans="1:7">
      <c r="A1045" t="s">
        <v>23</v>
      </c>
      <c r="B1045">
        <v>0.69005139202392041</v>
      </c>
    </row>
    <row r="1046" spans="1:7">
      <c r="A1046" t="s">
        <v>24</v>
      </c>
      <c r="B1046">
        <v>0.48794001866733083</v>
      </c>
    </row>
    <row r="1047" spans="1:7">
      <c r="A1047" t="s">
        <v>21</v>
      </c>
      <c r="B1047">
        <v>13.329447403472667</v>
      </c>
    </row>
    <row r="1048" spans="1:7">
      <c r="A1048" s="3" t="s">
        <v>22</v>
      </c>
      <c r="B1048">
        <f>TDIST(ABS(B1047),1,1)</f>
        <v>2.383555041853691E-2</v>
      </c>
    </row>
    <row r="1050" spans="1:7">
      <c r="A1050" s="2" t="s">
        <v>1876</v>
      </c>
    </row>
    <row r="1051" spans="1:7">
      <c r="A1051" s="3" t="s">
        <v>7</v>
      </c>
      <c r="B1051" s="3" t="s">
        <v>8</v>
      </c>
      <c r="C1051" s="3" t="s">
        <v>9</v>
      </c>
      <c r="D1051" s="3" t="s">
        <v>10</v>
      </c>
      <c r="E1051" s="3" t="s">
        <v>11</v>
      </c>
      <c r="F1051" s="3" t="s">
        <v>12</v>
      </c>
      <c r="G1051" s="3" t="s">
        <v>13</v>
      </c>
    </row>
    <row r="1052" spans="1:7">
      <c r="A1052" t="s">
        <v>1428</v>
      </c>
      <c r="B1052">
        <v>322.71036493415102</v>
      </c>
      <c r="C1052">
        <v>304.80060960121921</v>
      </c>
      <c r="D1052">
        <v>292.7900451384653</v>
      </c>
    </row>
    <row r="1053" spans="1:7">
      <c r="A1053" t="s">
        <v>1431</v>
      </c>
      <c r="B1053">
        <v>305.93116548776527</v>
      </c>
      <c r="C1053">
        <v>306.60664314393478</v>
      </c>
      <c r="D1053">
        <v>295.63932002956392</v>
      </c>
    </row>
    <row r="1055" spans="1:7">
      <c r="A1055" s="3" t="s">
        <v>18</v>
      </c>
      <c r="B1055">
        <v>2</v>
      </c>
    </row>
    <row r="1056" spans="1:7">
      <c r="A1056" s="3" t="s">
        <v>191</v>
      </c>
      <c r="B1056">
        <v>2</v>
      </c>
    </row>
    <row r="1057" spans="1:7">
      <c r="A1057" s="3" t="s">
        <v>192</v>
      </c>
      <c r="B1057">
        <v>0</v>
      </c>
    </row>
    <row r="1058" spans="1:7">
      <c r="A1058" s="6" t="s">
        <v>193</v>
      </c>
      <c r="B1058">
        <v>100</v>
      </c>
    </row>
    <row r="1060" spans="1:7">
      <c r="A1060" s="3" t="s">
        <v>19</v>
      </c>
      <c r="B1060">
        <v>11.488943788562381</v>
      </c>
    </row>
    <row r="1061" spans="1:7">
      <c r="A1061" t="s">
        <v>20</v>
      </c>
      <c r="B1061">
        <v>0.54417625548804083</v>
      </c>
    </row>
    <row r="1062" spans="1:7">
      <c r="A1062" t="s">
        <v>23</v>
      </c>
      <c r="B1062">
        <v>0.73768303185585127</v>
      </c>
    </row>
    <row r="1063" spans="1:7">
      <c r="A1063" t="s">
        <v>24</v>
      </c>
      <c r="B1063">
        <v>0.52162067419152436</v>
      </c>
    </row>
    <row r="1064" spans="1:7">
      <c r="A1064" t="s">
        <v>21</v>
      </c>
      <c r="B1064">
        <v>22.025476283832962</v>
      </c>
    </row>
    <row r="1065" spans="1:7">
      <c r="A1065" s="3" t="s">
        <v>22</v>
      </c>
      <c r="B1065">
        <f>TDIST(ABS(B1064),1,1)</f>
        <v>1.4441977884951772E-2</v>
      </c>
    </row>
    <row r="1067" spans="1:7">
      <c r="A1067" s="2" t="s">
        <v>1877</v>
      </c>
    </row>
    <row r="1068" spans="1:7">
      <c r="A1068" s="3" t="s">
        <v>7</v>
      </c>
      <c r="B1068" s="3" t="s">
        <v>8</v>
      </c>
      <c r="C1068" s="3" t="s">
        <v>9</v>
      </c>
      <c r="D1068" s="3" t="s">
        <v>10</v>
      </c>
      <c r="E1068" s="3" t="s">
        <v>11</v>
      </c>
      <c r="F1068" s="3" t="s">
        <v>12</v>
      </c>
      <c r="G1068" s="3" t="s">
        <v>13</v>
      </c>
    </row>
    <row r="1069" spans="1:7">
      <c r="A1069" t="s">
        <v>1429</v>
      </c>
      <c r="B1069">
        <v>336.37842572894505</v>
      </c>
      <c r="C1069">
        <v>292.54022428083857</v>
      </c>
      <c r="D1069">
        <v>301.3182674199623</v>
      </c>
    </row>
    <row r="1070" spans="1:7">
      <c r="A1070" t="s">
        <v>1430</v>
      </c>
      <c r="B1070">
        <v>333.23326328429903</v>
      </c>
      <c r="C1070">
        <v>298.13664596273293</v>
      </c>
      <c r="D1070">
        <v>304.14396147509819</v>
      </c>
    </row>
    <row r="1072" spans="1:7">
      <c r="A1072" s="3" t="s">
        <v>18</v>
      </c>
      <c r="B1072">
        <v>2</v>
      </c>
    </row>
    <row r="1073" spans="1:2">
      <c r="A1073" s="3" t="s">
        <v>191</v>
      </c>
      <c r="B1073">
        <v>0</v>
      </c>
    </row>
    <row r="1074" spans="1:2">
      <c r="A1074" s="3" t="s">
        <v>192</v>
      </c>
      <c r="B1074">
        <v>2</v>
      </c>
    </row>
    <row r="1075" spans="1:2">
      <c r="A1075" s="6" t="s">
        <v>193</v>
      </c>
      <c r="B1075">
        <v>0</v>
      </c>
    </row>
    <row r="1077" spans="1:2">
      <c r="A1077" s="3" t="s">
        <v>19</v>
      </c>
      <c r="B1077">
        <v>-7.3926793257444956</v>
      </c>
    </row>
    <row r="1078" spans="1:2">
      <c r="A1078" t="s">
        <v>20</v>
      </c>
      <c r="B1078">
        <v>3.8384657908412771</v>
      </c>
    </row>
    <row r="1079" spans="1:2">
      <c r="A1079" t="s">
        <v>23</v>
      </c>
      <c r="B1079">
        <v>1.9592002937018147</v>
      </c>
    </row>
    <row r="1080" spans="1:2">
      <c r="A1080" t="s">
        <v>24</v>
      </c>
      <c r="B1080">
        <v>1.3853638133792288</v>
      </c>
    </row>
    <row r="1081" spans="1:2">
      <c r="A1081" t="s">
        <v>21</v>
      </c>
      <c r="B1081">
        <v>-5.3362728651847844</v>
      </c>
    </row>
    <row r="1082" spans="1:2">
      <c r="A1082" s="3" t="s">
        <v>22</v>
      </c>
      <c r="B1082">
        <f>TDIST(ABS(B1081),1,1)</f>
        <v>5.8966323887496501E-2</v>
      </c>
    </row>
  </sheetData>
  <dataConsolidate/>
  <conditionalFormatting sqref="C1:D1048576 B1:B11 B13:B18 B20:B30 B32:B37 B39:B49 B51:B56 B58:B68 B70:B75 B77:B87 B89:B94 B96:B106 B108:B113 B115:B129 B131:B136 B138:B152 B154:B159 B161:B189 B191:B196 B198:B226 B228:B233 B235:B245 B247:B252 B254:B264 B266:B271 B273:B283 B285:B290 B292:B302 B304:B309 B311:B321 B323:B328 B330:B340 B342:B347 B349:B359 B361:B366 B368:B378 B380:B385 B387:B397 B399:B404 B406:B416 B418:B423 B425:B435 B437:B442 B444:B454 B456:B461 B463:B501 B503:B508 B510:B548 B550:B555 B557:B571 B573:B578 B580:B594 B596:B601 B603:B613 B615:B620 B622:B632 B634:B639 B641:B651 B653:B658 B660:B670 B672:B677 B679:B687 B689:B694 B696:B704 B706:B711 B713:B721 B723:B728 B730:B738 B740:B745 B747:B755 B757:B762 B764:B772 B774:B779 B781:B789 B791:B796 B798:B806 B808:B813 B815:B823 B825:B830 B832:B840 B842:B847 B849:B857 B859:B864 B866:B874 B876:B881 B883:B891 B893:B898 B900:B908 B910:B915 B917:B925 B927:B932 B934:B942 B944:B949 B951:B959 B961:B972 B974:B979 B981:B989 B991:B996 B998:B1006 B1008:B1013 B1015:B1023 B1025:B1030 B1032:B1040 B1042:B1047 B1049:B1057 B1059:B1064 B1066:B1074 B1076:B1081 B1083:B1048576">
    <cfRule type="containsErrors" dxfId="545" priority="1">
      <formula>ISERROR(B1)</formula>
    </cfRule>
  </conditionalFormatting>
  <conditionalFormatting sqref="B12">
    <cfRule type="cellIs" dxfId="544" priority="2" stopIfTrue="1" operator="notBetween">
      <formula>15</formula>
      <formula>85</formula>
    </cfRule>
    <cfRule type="cellIs" dxfId="543" priority="3" stopIfTrue="1" operator="notBetween">
      <formula>25</formula>
      <formula>75</formula>
    </cfRule>
  </conditionalFormatting>
  <conditionalFormatting sqref="B19">
    <cfRule type="cellIs" dxfId="542" priority="4" stopIfTrue="1" operator="lessThanOrEqual">
      <formula>0.05</formula>
    </cfRule>
    <cfRule type="cellIs" dxfId="541" priority="5" stopIfTrue="1" operator="lessThanOrEqual">
      <formula>0.1</formula>
    </cfRule>
  </conditionalFormatting>
  <conditionalFormatting sqref="B31">
    <cfRule type="cellIs" dxfId="540" priority="6" stopIfTrue="1" operator="notBetween">
      <formula>15</formula>
      <formula>85</formula>
    </cfRule>
    <cfRule type="cellIs" dxfId="539" priority="7" stopIfTrue="1" operator="notBetween">
      <formula>25</formula>
      <formula>75</formula>
    </cfRule>
  </conditionalFormatting>
  <conditionalFormatting sqref="B38">
    <cfRule type="cellIs" dxfId="538" priority="8" stopIfTrue="1" operator="lessThanOrEqual">
      <formula>0.05</formula>
    </cfRule>
    <cfRule type="cellIs" dxfId="537" priority="9" stopIfTrue="1" operator="lessThanOrEqual">
      <formula>0.1</formula>
    </cfRule>
  </conditionalFormatting>
  <conditionalFormatting sqref="B50">
    <cfRule type="cellIs" dxfId="536" priority="10" stopIfTrue="1" operator="notBetween">
      <formula>15</formula>
      <formula>85</formula>
    </cfRule>
    <cfRule type="cellIs" dxfId="535" priority="11" stopIfTrue="1" operator="notBetween">
      <formula>25</formula>
      <formula>75</formula>
    </cfRule>
  </conditionalFormatting>
  <conditionalFormatting sqref="B57">
    <cfRule type="cellIs" dxfId="534" priority="12" stopIfTrue="1" operator="lessThanOrEqual">
      <formula>0.05</formula>
    </cfRule>
    <cfRule type="cellIs" dxfId="533" priority="13" stopIfTrue="1" operator="lessThanOrEqual">
      <formula>0.1</formula>
    </cfRule>
  </conditionalFormatting>
  <conditionalFormatting sqref="B69">
    <cfRule type="cellIs" dxfId="532" priority="14" stopIfTrue="1" operator="notBetween">
      <formula>15</formula>
      <formula>85</formula>
    </cfRule>
    <cfRule type="cellIs" dxfId="531" priority="15" stopIfTrue="1" operator="notBetween">
      <formula>25</formula>
      <formula>75</formula>
    </cfRule>
  </conditionalFormatting>
  <conditionalFormatting sqref="B76">
    <cfRule type="cellIs" dxfId="530" priority="16" stopIfTrue="1" operator="lessThanOrEqual">
      <formula>0.05</formula>
    </cfRule>
    <cfRule type="cellIs" dxfId="529" priority="17" stopIfTrue="1" operator="lessThanOrEqual">
      <formula>0.1</formula>
    </cfRule>
  </conditionalFormatting>
  <conditionalFormatting sqref="B88">
    <cfRule type="cellIs" dxfId="528" priority="18" stopIfTrue="1" operator="notBetween">
      <formula>15</formula>
      <formula>85</formula>
    </cfRule>
    <cfRule type="cellIs" dxfId="527" priority="19" stopIfTrue="1" operator="notBetween">
      <formula>25</formula>
      <formula>75</formula>
    </cfRule>
  </conditionalFormatting>
  <conditionalFormatting sqref="B95">
    <cfRule type="cellIs" dxfId="526" priority="20" stopIfTrue="1" operator="lessThanOrEqual">
      <formula>0.05</formula>
    </cfRule>
    <cfRule type="cellIs" dxfId="525" priority="21" stopIfTrue="1" operator="lessThanOrEqual">
      <formula>0.1</formula>
    </cfRule>
  </conditionalFormatting>
  <conditionalFormatting sqref="B107">
    <cfRule type="cellIs" dxfId="524" priority="22" stopIfTrue="1" operator="notBetween">
      <formula>15</formula>
      <formula>85</formula>
    </cfRule>
    <cfRule type="cellIs" dxfId="523" priority="23" stopIfTrue="1" operator="notBetween">
      <formula>25</formula>
      <formula>75</formula>
    </cfRule>
  </conditionalFormatting>
  <conditionalFormatting sqref="B114">
    <cfRule type="cellIs" dxfId="522" priority="24" stopIfTrue="1" operator="lessThanOrEqual">
      <formula>0.05</formula>
    </cfRule>
    <cfRule type="cellIs" dxfId="521" priority="25" stopIfTrue="1" operator="lessThanOrEqual">
      <formula>0.1</formula>
    </cfRule>
  </conditionalFormatting>
  <conditionalFormatting sqref="B130">
    <cfRule type="cellIs" dxfId="520" priority="26" stopIfTrue="1" operator="notBetween">
      <formula>15</formula>
      <formula>85</formula>
    </cfRule>
    <cfRule type="cellIs" dxfId="519" priority="27" stopIfTrue="1" operator="notBetween">
      <formula>25</formula>
      <formula>75</formula>
    </cfRule>
  </conditionalFormatting>
  <conditionalFormatting sqref="B137">
    <cfRule type="cellIs" dxfId="518" priority="28" stopIfTrue="1" operator="lessThanOrEqual">
      <formula>0.05</formula>
    </cfRule>
    <cfRule type="cellIs" dxfId="517" priority="29" stopIfTrue="1" operator="lessThanOrEqual">
      <formula>0.1</formula>
    </cfRule>
  </conditionalFormatting>
  <conditionalFormatting sqref="B153">
    <cfRule type="cellIs" dxfId="516" priority="30" stopIfTrue="1" operator="notBetween">
      <formula>15</formula>
      <formula>85</formula>
    </cfRule>
    <cfRule type="cellIs" dxfId="515" priority="31" stopIfTrue="1" operator="notBetween">
      <formula>25</formula>
      <formula>75</formula>
    </cfRule>
  </conditionalFormatting>
  <conditionalFormatting sqref="B160">
    <cfRule type="cellIs" dxfId="514" priority="32" stopIfTrue="1" operator="lessThanOrEqual">
      <formula>0.05</formula>
    </cfRule>
    <cfRule type="cellIs" dxfId="513" priority="33" stopIfTrue="1" operator="lessThanOrEqual">
      <formula>0.1</formula>
    </cfRule>
  </conditionalFormatting>
  <conditionalFormatting sqref="B190">
    <cfRule type="cellIs" dxfId="512" priority="34" stopIfTrue="1" operator="notBetween">
      <formula>15</formula>
      <formula>85</formula>
    </cfRule>
    <cfRule type="cellIs" dxfId="511" priority="35" stopIfTrue="1" operator="notBetween">
      <formula>25</formula>
      <formula>75</formula>
    </cfRule>
  </conditionalFormatting>
  <conditionalFormatting sqref="B197">
    <cfRule type="cellIs" dxfId="510" priority="36" stopIfTrue="1" operator="lessThanOrEqual">
      <formula>0.05</formula>
    </cfRule>
    <cfRule type="cellIs" dxfId="509" priority="37" stopIfTrue="1" operator="lessThanOrEqual">
      <formula>0.1</formula>
    </cfRule>
  </conditionalFormatting>
  <conditionalFormatting sqref="B227">
    <cfRule type="cellIs" dxfId="508" priority="38" stopIfTrue="1" operator="notBetween">
      <formula>15</formula>
      <formula>85</formula>
    </cfRule>
    <cfRule type="cellIs" dxfId="507" priority="39" stopIfTrue="1" operator="notBetween">
      <formula>25</formula>
      <formula>75</formula>
    </cfRule>
  </conditionalFormatting>
  <conditionalFormatting sqref="B234">
    <cfRule type="cellIs" dxfId="506" priority="40" stopIfTrue="1" operator="lessThanOrEqual">
      <formula>0.05</formula>
    </cfRule>
    <cfRule type="cellIs" dxfId="505" priority="41" stopIfTrue="1" operator="lessThanOrEqual">
      <formula>0.1</formula>
    </cfRule>
  </conditionalFormatting>
  <conditionalFormatting sqref="B246">
    <cfRule type="cellIs" dxfId="504" priority="42" stopIfTrue="1" operator="notBetween">
      <formula>15</formula>
      <formula>85</formula>
    </cfRule>
    <cfRule type="cellIs" dxfId="503" priority="43" stopIfTrue="1" operator="notBetween">
      <formula>25</formula>
      <formula>75</formula>
    </cfRule>
  </conditionalFormatting>
  <conditionalFormatting sqref="B253">
    <cfRule type="cellIs" dxfId="502" priority="44" stopIfTrue="1" operator="lessThanOrEqual">
      <formula>0.05</formula>
    </cfRule>
    <cfRule type="cellIs" dxfId="501" priority="45" stopIfTrue="1" operator="lessThanOrEqual">
      <formula>0.1</formula>
    </cfRule>
  </conditionalFormatting>
  <conditionalFormatting sqref="B265">
    <cfRule type="cellIs" dxfId="500" priority="46" stopIfTrue="1" operator="notBetween">
      <formula>15</formula>
      <formula>85</formula>
    </cfRule>
    <cfRule type="cellIs" dxfId="499" priority="47" stopIfTrue="1" operator="notBetween">
      <formula>25</formula>
      <formula>75</formula>
    </cfRule>
  </conditionalFormatting>
  <conditionalFormatting sqref="B272">
    <cfRule type="cellIs" dxfId="498" priority="48" stopIfTrue="1" operator="lessThanOrEqual">
      <formula>0.05</formula>
    </cfRule>
    <cfRule type="cellIs" dxfId="497" priority="49" stopIfTrue="1" operator="lessThanOrEqual">
      <formula>0.1</formula>
    </cfRule>
  </conditionalFormatting>
  <conditionalFormatting sqref="B284">
    <cfRule type="cellIs" dxfId="496" priority="50" stopIfTrue="1" operator="notBetween">
      <formula>15</formula>
      <formula>85</formula>
    </cfRule>
    <cfRule type="cellIs" dxfId="495" priority="51" stopIfTrue="1" operator="notBetween">
      <formula>25</formula>
      <formula>75</formula>
    </cfRule>
  </conditionalFormatting>
  <conditionalFormatting sqref="B291">
    <cfRule type="cellIs" dxfId="494" priority="52" stopIfTrue="1" operator="lessThanOrEqual">
      <formula>0.05</formula>
    </cfRule>
    <cfRule type="cellIs" dxfId="493" priority="53" stopIfTrue="1" operator="lessThanOrEqual">
      <formula>0.1</formula>
    </cfRule>
  </conditionalFormatting>
  <conditionalFormatting sqref="B303">
    <cfRule type="cellIs" dxfId="492" priority="54" stopIfTrue="1" operator="notBetween">
      <formula>15</formula>
      <formula>85</formula>
    </cfRule>
    <cfRule type="cellIs" dxfId="491" priority="55" stopIfTrue="1" operator="notBetween">
      <formula>25</formula>
      <formula>75</formula>
    </cfRule>
  </conditionalFormatting>
  <conditionalFormatting sqref="B310">
    <cfRule type="cellIs" dxfId="490" priority="56" stopIfTrue="1" operator="lessThanOrEqual">
      <formula>0.05</formula>
    </cfRule>
    <cfRule type="cellIs" dxfId="489" priority="57" stopIfTrue="1" operator="lessThanOrEqual">
      <formula>0.1</formula>
    </cfRule>
  </conditionalFormatting>
  <conditionalFormatting sqref="B322">
    <cfRule type="cellIs" dxfId="488" priority="58" stopIfTrue="1" operator="notBetween">
      <formula>15</formula>
      <formula>85</formula>
    </cfRule>
    <cfRule type="cellIs" dxfId="487" priority="59" stopIfTrue="1" operator="notBetween">
      <formula>25</formula>
      <formula>75</formula>
    </cfRule>
  </conditionalFormatting>
  <conditionalFormatting sqref="B329">
    <cfRule type="cellIs" dxfId="486" priority="60" stopIfTrue="1" operator="lessThanOrEqual">
      <formula>0.05</formula>
    </cfRule>
    <cfRule type="cellIs" dxfId="485" priority="61" stopIfTrue="1" operator="lessThanOrEqual">
      <formula>0.1</formula>
    </cfRule>
  </conditionalFormatting>
  <conditionalFormatting sqref="B341">
    <cfRule type="cellIs" dxfId="484" priority="62" stopIfTrue="1" operator="notBetween">
      <formula>15</formula>
      <formula>85</formula>
    </cfRule>
    <cfRule type="cellIs" dxfId="483" priority="63" stopIfTrue="1" operator="notBetween">
      <formula>25</formula>
      <formula>75</formula>
    </cfRule>
  </conditionalFormatting>
  <conditionalFormatting sqref="B348">
    <cfRule type="cellIs" dxfId="482" priority="64" stopIfTrue="1" operator="lessThanOrEqual">
      <formula>0.05</formula>
    </cfRule>
    <cfRule type="cellIs" dxfId="481" priority="65" stopIfTrue="1" operator="lessThanOrEqual">
      <formula>0.1</formula>
    </cfRule>
  </conditionalFormatting>
  <conditionalFormatting sqref="B360">
    <cfRule type="cellIs" dxfId="480" priority="66" stopIfTrue="1" operator="notBetween">
      <formula>15</formula>
      <formula>85</formula>
    </cfRule>
    <cfRule type="cellIs" dxfId="479" priority="67" stopIfTrue="1" operator="notBetween">
      <formula>25</formula>
      <formula>75</formula>
    </cfRule>
  </conditionalFormatting>
  <conditionalFormatting sqref="B367">
    <cfRule type="cellIs" dxfId="478" priority="68" stopIfTrue="1" operator="lessThanOrEqual">
      <formula>0.05</formula>
    </cfRule>
    <cfRule type="cellIs" dxfId="477" priority="69" stopIfTrue="1" operator="lessThanOrEqual">
      <formula>0.1</formula>
    </cfRule>
  </conditionalFormatting>
  <conditionalFormatting sqref="B379">
    <cfRule type="cellIs" dxfId="476" priority="70" stopIfTrue="1" operator="notBetween">
      <formula>15</formula>
      <formula>85</formula>
    </cfRule>
    <cfRule type="cellIs" dxfId="475" priority="71" stopIfTrue="1" operator="notBetween">
      <formula>25</formula>
      <formula>75</formula>
    </cfRule>
  </conditionalFormatting>
  <conditionalFormatting sqref="B386">
    <cfRule type="cellIs" dxfId="474" priority="72" stopIfTrue="1" operator="lessThanOrEqual">
      <formula>0.05</formula>
    </cfRule>
    <cfRule type="cellIs" dxfId="473" priority="73" stopIfTrue="1" operator="lessThanOrEqual">
      <formula>0.1</formula>
    </cfRule>
  </conditionalFormatting>
  <conditionalFormatting sqref="B398">
    <cfRule type="cellIs" dxfId="472" priority="74" stopIfTrue="1" operator="notBetween">
      <formula>15</formula>
      <formula>85</formula>
    </cfRule>
    <cfRule type="cellIs" dxfId="471" priority="75" stopIfTrue="1" operator="notBetween">
      <formula>25</formula>
      <formula>75</formula>
    </cfRule>
  </conditionalFormatting>
  <conditionalFormatting sqref="B405">
    <cfRule type="cellIs" dxfId="470" priority="76" stopIfTrue="1" operator="lessThanOrEqual">
      <formula>0.05</formula>
    </cfRule>
    <cfRule type="cellIs" dxfId="469" priority="77" stopIfTrue="1" operator="lessThanOrEqual">
      <formula>0.1</formula>
    </cfRule>
  </conditionalFormatting>
  <conditionalFormatting sqref="B417">
    <cfRule type="cellIs" dxfId="468" priority="78" stopIfTrue="1" operator="notBetween">
      <formula>15</formula>
      <formula>85</formula>
    </cfRule>
    <cfRule type="cellIs" dxfId="467" priority="79" stopIfTrue="1" operator="notBetween">
      <formula>25</formula>
      <formula>75</formula>
    </cfRule>
  </conditionalFormatting>
  <conditionalFormatting sqref="B424">
    <cfRule type="cellIs" dxfId="466" priority="80" stopIfTrue="1" operator="lessThanOrEqual">
      <formula>0.05</formula>
    </cfRule>
    <cfRule type="cellIs" dxfId="465" priority="81" stopIfTrue="1" operator="lessThanOrEqual">
      <formula>0.1</formula>
    </cfRule>
  </conditionalFormatting>
  <conditionalFormatting sqref="B436">
    <cfRule type="cellIs" dxfId="464" priority="82" stopIfTrue="1" operator="notBetween">
      <formula>15</formula>
      <formula>85</formula>
    </cfRule>
    <cfRule type="cellIs" dxfId="463" priority="83" stopIfTrue="1" operator="notBetween">
      <formula>25</formula>
      <formula>75</formula>
    </cfRule>
  </conditionalFormatting>
  <conditionalFormatting sqref="B443">
    <cfRule type="cellIs" dxfId="462" priority="84" stopIfTrue="1" operator="lessThanOrEqual">
      <formula>0.05</formula>
    </cfRule>
    <cfRule type="cellIs" dxfId="461" priority="85" stopIfTrue="1" operator="lessThanOrEqual">
      <formula>0.1</formula>
    </cfRule>
  </conditionalFormatting>
  <conditionalFormatting sqref="B455">
    <cfRule type="cellIs" dxfId="460" priority="86" stopIfTrue="1" operator="notBetween">
      <formula>15</formula>
      <formula>85</formula>
    </cfRule>
    <cfRule type="cellIs" dxfId="459" priority="87" stopIfTrue="1" operator="notBetween">
      <formula>25</formula>
      <formula>75</formula>
    </cfRule>
  </conditionalFormatting>
  <conditionalFormatting sqref="B462">
    <cfRule type="cellIs" dxfId="458" priority="88" stopIfTrue="1" operator="lessThanOrEqual">
      <formula>0.05</formula>
    </cfRule>
    <cfRule type="cellIs" dxfId="457" priority="89" stopIfTrue="1" operator="lessThanOrEqual">
      <formula>0.1</formula>
    </cfRule>
  </conditionalFormatting>
  <conditionalFormatting sqref="B502">
    <cfRule type="cellIs" dxfId="456" priority="90" stopIfTrue="1" operator="notBetween">
      <formula>15</formula>
      <formula>85</formula>
    </cfRule>
    <cfRule type="cellIs" dxfId="455" priority="91" stopIfTrue="1" operator="notBetween">
      <formula>25</formula>
      <formula>75</formula>
    </cfRule>
  </conditionalFormatting>
  <conditionalFormatting sqref="B509">
    <cfRule type="cellIs" dxfId="454" priority="92" stopIfTrue="1" operator="lessThanOrEqual">
      <formula>0.05</formula>
    </cfRule>
    <cfRule type="cellIs" dxfId="453" priority="93" stopIfTrue="1" operator="lessThanOrEqual">
      <formula>0.1</formula>
    </cfRule>
  </conditionalFormatting>
  <conditionalFormatting sqref="B549">
    <cfRule type="cellIs" dxfId="452" priority="94" stopIfTrue="1" operator="notBetween">
      <formula>15</formula>
      <formula>85</formula>
    </cfRule>
    <cfRule type="cellIs" dxfId="451" priority="95" stopIfTrue="1" operator="notBetween">
      <formula>25</formula>
      <formula>75</formula>
    </cfRule>
  </conditionalFormatting>
  <conditionalFormatting sqref="B556">
    <cfRule type="cellIs" dxfId="450" priority="96" stopIfTrue="1" operator="lessThanOrEqual">
      <formula>0.05</formula>
    </cfRule>
    <cfRule type="cellIs" dxfId="449" priority="97" stopIfTrue="1" operator="lessThanOrEqual">
      <formula>0.1</formula>
    </cfRule>
  </conditionalFormatting>
  <conditionalFormatting sqref="B572">
    <cfRule type="cellIs" dxfId="448" priority="98" stopIfTrue="1" operator="notBetween">
      <formula>15</formula>
      <formula>85</formula>
    </cfRule>
    <cfRule type="cellIs" dxfId="447" priority="99" stopIfTrue="1" operator="notBetween">
      <formula>25</formula>
      <formula>75</formula>
    </cfRule>
  </conditionalFormatting>
  <conditionalFormatting sqref="B579">
    <cfRule type="cellIs" dxfId="446" priority="100" stopIfTrue="1" operator="lessThanOrEqual">
      <formula>0.05</formula>
    </cfRule>
    <cfRule type="cellIs" dxfId="445" priority="101" stopIfTrue="1" operator="lessThanOrEqual">
      <formula>0.1</formula>
    </cfRule>
  </conditionalFormatting>
  <conditionalFormatting sqref="B595">
    <cfRule type="cellIs" dxfId="444" priority="102" stopIfTrue="1" operator="notBetween">
      <formula>15</formula>
      <formula>85</formula>
    </cfRule>
    <cfRule type="cellIs" dxfId="443" priority="103" stopIfTrue="1" operator="notBetween">
      <formula>25</formula>
      <formula>75</formula>
    </cfRule>
  </conditionalFormatting>
  <conditionalFormatting sqref="B602">
    <cfRule type="cellIs" dxfId="442" priority="104" stopIfTrue="1" operator="lessThanOrEqual">
      <formula>0.05</formula>
    </cfRule>
    <cfRule type="cellIs" dxfId="441" priority="105" stopIfTrue="1" operator="lessThanOrEqual">
      <formula>0.1</formula>
    </cfRule>
  </conditionalFormatting>
  <conditionalFormatting sqref="B614">
    <cfRule type="cellIs" dxfId="440" priority="106" stopIfTrue="1" operator="notBetween">
      <formula>15</formula>
      <formula>85</formula>
    </cfRule>
    <cfRule type="cellIs" dxfId="439" priority="107" stopIfTrue="1" operator="notBetween">
      <formula>25</formula>
      <formula>75</formula>
    </cfRule>
  </conditionalFormatting>
  <conditionalFormatting sqref="B621">
    <cfRule type="cellIs" dxfId="438" priority="108" stopIfTrue="1" operator="lessThanOrEqual">
      <formula>0.05</formula>
    </cfRule>
    <cfRule type="cellIs" dxfId="437" priority="109" stopIfTrue="1" operator="lessThanOrEqual">
      <formula>0.1</formula>
    </cfRule>
  </conditionalFormatting>
  <conditionalFormatting sqref="B633">
    <cfRule type="cellIs" dxfId="436" priority="110" stopIfTrue="1" operator="notBetween">
      <formula>15</formula>
      <formula>85</formula>
    </cfRule>
    <cfRule type="cellIs" dxfId="435" priority="111" stopIfTrue="1" operator="notBetween">
      <formula>25</formula>
      <formula>75</formula>
    </cfRule>
  </conditionalFormatting>
  <conditionalFormatting sqref="B640">
    <cfRule type="cellIs" dxfId="434" priority="112" stopIfTrue="1" operator="lessThanOrEqual">
      <formula>0.05</formula>
    </cfRule>
    <cfRule type="cellIs" dxfId="433" priority="113" stopIfTrue="1" operator="lessThanOrEqual">
      <formula>0.1</formula>
    </cfRule>
  </conditionalFormatting>
  <conditionalFormatting sqref="B652">
    <cfRule type="cellIs" dxfId="432" priority="114" stopIfTrue="1" operator="notBetween">
      <formula>15</formula>
      <formula>85</formula>
    </cfRule>
    <cfRule type="cellIs" dxfId="431" priority="115" stopIfTrue="1" operator="notBetween">
      <formula>25</formula>
      <formula>75</formula>
    </cfRule>
  </conditionalFormatting>
  <conditionalFormatting sqref="B659">
    <cfRule type="cellIs" dxfId="430" priority="116" stopIfTrue="1" operator="lessThanOrEqual">
      <formula>0.05</formula>
    </cfRule>
    <cfRule type="cellIs" dxfId="429" priority="117" stopIfTrue="1" operator="lessThanOrEqual">
      <formula>0.1</formula>
    </cfRule>
  </conditionalFormatting>
  <conditionalFormatting sqref="B671">
    <cfRule type="cellIs" dxfId="428" priority="118" stopIfTrue="1" operator="notBetween">
      <formula>15</formula>
      <formula>85</formula>
    </cfRule>
    <cfRule type="cellIs" dxfId="427" priority="119" stopIfTrue="1" operator="notBetween">
      <formula>25</formula>
      <formula>75</formula>
    </cfRule>
  </conditionalFormatting>
  <conditionalFormatting sqref="B678">
    <cfRule type="cellIs" dxfId="426" priority="120" stopIfTrue="1" operator="lessThanOrEqual">
      <formula>0.05</formula>
    </cfRule>
    <cfRule type="cellIs" dxfId="425" priority="121" stopIfTrue="1" operator="lessThanOrEqual">
      <formula>0.1</formula>
    </cfRule>
  </conditionalFormatting>
  <conditionalFormatting sqref="B688">
    <cfRule type="cellIs" dxfId="424" priority="122" stopIfTrue="1" operator="notBetween">
      <formula>15</formula>
      <formula>85</formula>
    </cfRule>
    <cfRule type="cellIs" dxfId="423" priority="123" stopIfTrue="1" operator="notBetween">
      <formula>25</formula>
      <formula>75</formula>
    </cfRule>
  </conditionalFormatting>
  <conditionalFormatting sqref="B695">
    <cfRule type="cellIs" dxfId="422" priority="124" stopIfTrue="1" operator="lessThanOrEqual">
      <formula>0.05</formula>
    </cfRule>
    <cfRule type="cellIs" dxfId="421" priority="125" stopIfTrue="1" operator="lessThanOrEqual">
      <formula>0.1</formula>
    </cfRule>
  </conditionalFormatting>
  <conditionalFormatting sqref="B705">
    <cfRule type="cellIs" dxfId="420" priority="126" stopIfTrue="1" operator="notBetween">
      <formula>15</formula>
      <formula>85</formula>
    </cfRule>
    <cfRule type="cellIs" dxfId="419" priority="127" stopIfTrue="1" operator="notBetween">
      <formula>25</formula>
      <formula>75</formula>
    </cfRule>
  </conditionalFormatting>
  <conditionalFormatting sqref="B712">
    <cfRule type="cellIs" dxfId="418" priority="128" stopIfTrue="1" operator="lessThanOrEqual">
      <formula>0.05</formula>
    </cfRule>
    <cfRule type="cellIs" dxfId="417" priority="129" stopIfTrue="1" operator="lessThanOrEqual">
      <formula>0.1</formula>
    </cfRule>
  </conditionalFormatting>
  <conditionalFormatting sqref="B722">
    <cfRule type="cellIs" dxfId="416" priority="130" stopIfTrue="1" operator="notBetween">
      <formula>15</formula>
      <formula>85</formula>
    </cfRule>
    <cfRule type="cellIs" dxfId="415" priority="131" stopIfTrue="1" operator="notBetween">
      <formula>25</formula>
      <formula>75</formula>
    </cfRule>
  </conditionalFormatting>
  <conditionalFormatting sqref="B729">
    <cfRule type="cellIs" dxfId="414" priority="132" stopIfTrue="1" operator="lessThanOrEqual">
      <formula>0.05</formula>
    </cfRule>
    <cfRule type="cellIs" dxfId="413" priority="133" stopIfTrue="1" operator="lessThanOrEqual">
      <formula>0.1</formula>
    </cfRule>
  </conditionalFormatting>
  <conditionalFormatting sqref="B739">
    <cfRule type="cellIs" dxfId="412" priority="134" stopIfTrue="1" operator="notBetween">
      <formula>15</formula>
      <formula>85</formula>
    </cfRule>
    <cfRule type="cellIs" dxfId="411" priority="135" stopIfTrue="1" operator="notBetween">
      <formula>25</formula>
      <formula>75</formula>
    </cfRule>
  </conditionalFormatting>
  <conditionalFormatting sqref="B746">
    <cfRule type="cellIs" dxfId="410" priority="136" stopIfTrue="1" operator="lessThanOrEqual">
      <formula>0.05</formula>
    </cfRule>
    <cfRule type="cellIs" dxfId="409" priority="137" stopIfTrue="1" operator="lessThanOrEqual">
      <formula>0.1</formula>
    </cfRule>
  </conditionalFormatting>
  <conditionalFormatting sqref="B756">
    <cfRule type="cellIs" dxfId="408" priority="138" stopIfTrue="1" operator="notBetween">
      <formula>15</formula>
      <formula>85</formula>
    </cfRule>
    <cfRule type="cellIs" dxfId="407" priority="139" stopIfTrue="1" operator="notBetween">
      <formula>25</formula>
      <formula>75</formula>
    </cfRule>
  </conditionalFormatting>
  <conditionalFormatting sqref="B763">
    <cfRule type="cellIs" dxfId="406" priority="140" stopIfTrue="1" operator="lessThanOrEqual">
      <formula>0.05</formula>
    </cfRule>
    <cfRule type="cellIs" dxfId="405" priority="141" stopIfTrue="1" operator="lessThanOrEqual">
      <formula>0.1</formula>
    </cfRule>
  </conditionalFormatting>
  <conditionalFormatting sqref="B773">
    <cfRule type="cellIs" dxfId="404" priority="142" stopIfTrue="1" operator="notBetween">
      <formula>15</formula>
      <formula>85</formula>
    </cfRule>
    <cfRule type="cellIs" dxfId="403" priority="143" stopIfTrue="1" operator="notBetween">
      <formula>25</formula>
      <formula>75</formula>
    </cfRule>
  </conditionalFormatting>
  <conditionalFormatting sqref="B780">
    <cfRule type="cellIs" dxfId="402" priority="144" stopIfTrue="1" operator="lessThanOrEqual">
      <formula>0.05</formula>
    </cfRule>
    <cfRule type="cellIs" dxfId="401" priority="145" stopIfTrue="1" operator="lessThanOrEqual">
      <formula>0.1</formula>
    </cfRule>
  </conditionalFormatting>
  <conditionalFormatting sqref="B790">
    <cfRule type="cellIs" dxfId="400" priority="146" stopIfTrue="1" operator="notBetween">
      <formula>15</formula>
      <formula>85</formula>
    </cfRule>
    <cfRule type="cellIs" dxfId="399" priority="147" stopIfTrue="1" operator="notBetween">
      <formula>25</formula>
      <formula>75</formula>
    </cfRule>
  </conditionalFormatting>
  <conditionalFormatting sqref="B797">
    <cfRule type="cellIs" dxfId="398" priority="148" stopIfTrue="1" operator="lessThanOrEqual">
      <formula>0.05</formula>
    </cfRule>
    <cfRule type="cellIs" dxfId="397" priority="149" stopIfTrue="1" operator="lessThanOrEqual">
      <formula>0.1</formula>
    </cfRule>
  </conditionalFormatting>
  <conditionalFormatting sqref="B807">
    <cfRule type="cellIs" dxfId="396" priority="150" stopIfTrue="1" operator="notBetween">
      <formula>15</formula>
      <formula>85</formula>
    </cfRule>
    <cfRule type="cellIs" dxfId="395" priority="151" stopIfTrue="1" operator="notBetween">
      <formula>25</formula>
      <formula>75</formula>
    </cfRule>
  </conditionalFormatting>
  <conditionalFormatting sqref="B814">
    <cfRule type="cellIs" dxfId="394" priority="152" stopIfTrue="1" operator="lessThanOrEqual">
      <formula>0.05</formula>
    </cfRule>
    <cfRule type="cellIs" dxfId="393" priority="153" stopIfTrue="1" operator="lessThanOrEqual">
      <formula>0.1</formula>
    </cfRule>
  </conditionalFormatting>
  <conditionalFormatting sqref="B824">
    <cfRule type="cellIs" dxfId="392" priority="154" stopIfTrue="1" operator="notBetween">
      <formula>15</formula>
      <formula>85</formula>
    </cfRule>
    <cfRule type="cellIs" dxfId="391" priority="155" stopIfTrue="1" operator="notBetween">
      <formula>25</formula>
      <formula>75</formula>
    </cfRule>
  </conditionalFormatting>
  <conditionalFormatting sqref="B831">
    <cfRule type="cellIs" dxfId="390" priority="156" stopIfTrue="1" operator="lessThanOrEqual">
      <formula>0.05</formula>
    </cfRule>
    <cfRule type="cellIs" dxfId="389" priority="157" stopIfTrue="1" operator="lessThanOrEqual">
      <formula>0.1</formula>
    </cfRule>
  </conditionalFormatting>
  <conditionalFormatting sqref="B841">
    <cfRule type="cellIs" dxfId="388" priority="158" stopIfTrue="1" operator="notBetween">
      <formula>15</formula>
      <formula>85</formula>
    </cfRule>
    <cfRule type="cellIs" dxfId="387" priority="159" stopIfTrue="1" operator="notBetween">
      <formula>25</formula>
      <formula>75</formula>
    </cfRule>
  </conditionalFormatting>
  <conditionalFormatting sqref="B848">
    <cfRule type="cellIs" dxfId="386" priority="160" stopIfTrue="1" operator="lessThanOrEqual">
      <formula>0.05</formula>
    </cfRule>
    <cfRule type="cellIs" dxfId="385" priority="161" stopIfTrue="1" operator="lessThanOrEqual">
      <formula>0.1</formula>
    </cfRule>
  </conditionalFormatting>
  <conditionalFormatting sqref="B858">
    <cfRule type="cellIs" dxfId="384" priority="162" stopIfTrue="1" operator="notBetween">
      <formula>15</formula>
      <formula>85</formula>
    </cfRule>
    <cfRule type="cellIs" dxfId="383" priority="163" stopIfTrue="1" operator="notBetween">
      <formula>25</formula>
      <formula>75</formula>
    </cfRule>
  </conditionalFormatting>
  <conditionalFormatting sqref="B865">
    <cfRule type="cellIs" dxfId="382" priority="164" stopIfTrue="1" operator="lessThanOrEqual">
      <formula>0.05</formula>
    </cfRule>
    <cfRule type="cellIs" dxfId="381" priority="165" stopIfTrue="1" operator="lessThanOrEqual">
      <formula>0.1</formula>
    </cfRule>
  </conditionalFormatting>
  <conditionalFormatting sqref="B875">
    <cfRule type="cellIs" dxfId="380" priority="166" stopIfTrue="1" operator="notBetween">
      <formula>15</formula>
      <formula>85</formula>
    </cfRule>
    <cfRule type="cellIs" dxfId="379" priority="167" stopIfTrue="1" operator="notBetween">
      <formula>25</formula>
      <formula>75</formula>
    </cfRule>
  </conditionalFormatting>
  <conditionalFormatting sqref="B882">
    <cfRule type="cellIs" dxfId="378" priority="168" stopIfTrue="1" operator="lessThanOrEqual">
      <formula>0.05</formula>
    </cfRule>
    <cfRule type="cellIs" dxfId="377" priority="169" stopIfTrue="1" operator="lessThanOrEqual">
      <formula>0.1</formula>
    </cfRule>
  </conditionalFormatting>
  <conditionalFormatting sqref="B892">
    <cfRule type="cellIs" dxfId="376" priority="170" stopIfTrue="1" operator="notBetween">
      <formula>15</formula>
      <formula>85</formula>
    </cfRule>
    <cfRule type="cellIs" dxfId="375" priority="171" stopIfTrue="1" operator="notBetween">
      <formula>25</formula>
      <formula>75</formula>
    </cfRule>
  </conditionalFormatting>
  <conditionalFormatting sqref="B899">
    <cfRule type="cellIs" dxfId="374" priority="172" stopIfTrue="1" operator="lessThanOrEqual">
      <formula>0.05</formula>
    </cfRule>
    <cfRule type="cellIs" dxfId="373" priority="173" stopIfTrue="1" operator="lessThanOrEqual">
      <formula>0.1</formula>
    </cfRule>
  </conditionalFormatting>
  <conditionalFormatting sqref="B909">
    <cfRule type="cellIs" dxfId="372" priority="174" stopIfTrue="1" operator="notBetween">
      <formula>15</formula>
      <formula>85</formula>
    </cfRule>
    <cfRule type="cellIs" dxfId="371" priority="175" stopIfTrue="1" operator="notBetween">
      <formula>25</formula>
      <formula>75</formula>
    </cfRule>
  </conditionalFormatting>
  <conditionalFormatting sqref="B916">
    <cfRule type="cellIs" dxfId="370" priority="176" stopIfTrue="1" operator="lessThanOrEqual">
      <formula>0.05</formula>
    </cfRule>
    <cfRule type="cellIs" dxfId="369" priority="177" stopIfTrue="1" operator="lessThanOrEqual">
      <formula>0.1</formula>
    </cfRule>
  </conditionalFormatting>
  <conditionalFormatting sqref="B926">
    <cfRule type="cellIs" dxfId="368" priority="178" stopIfTrue="1" operator="notBetween">
      <formula>15</formula>
      <formula>85</formula>
    </cfRule>
    <cfRule type="cellIs" dxfId="367" priority="179" stopIfTrue="1" operator="notBetween">
      <formula>25</formula>
      <formula>75</formula>
    </cfRule>
  </conditionalFormatting>
  <conditionalFormatting sqref="B933">
    <cfRule type="cellIs" dxfId="366" priority="180" stopIfTrue="1" operator="lessThanOrEqual">
      <formula>0.05</formula>
    </cfRule>
    <cfRule type="cellIs" dxfId="365" priority="181" stopIfTrue="1" operator="lessThanOrEqual">
      <formula>0.1</formula>
    </cfRule>
  </conditionalFormatting>
  <conditionalFormatting sqref="B943">
    <cfRule type="cellIs" dxfId="364" priority="182" stopIfTrue="1" operator="notBetween">
      <formula>15</formula>
      <formula>85</formula>
    </cfRule>
    <cfRule type="cellIs" dxfId="363" priority="183" stopIfTrue="1" operator="notBetween">
      <formula>25</formula>
      <formula>75</formula>
    </cfRule>
  </conditionalFormatting>
  <conditionalFormatting sqref="B950">
    <cfRule type="cellIs" dxfId="362" priority="184" stopIfTrue="1" operator="lessThanOrEqual">
      <formula>0.05</formula>
    </cfRule>
    <cfRule type="cellIs" dxfId="361" priority="185" stopIfTrue="1" operator="lessThanOrEqual">
      <formula>0.1</formula>
    </cfRule>
  </conditionalFormatting>
  <conditionalFormatting sqref="B960">
    <cfRule type="cellIs" dxfId="360" priority="186" stopIfTrue="1" operator="notBetween">
      <formula>15</formula>
      <formula>85</formula>
    </cfRule>
    <cfRule type="cellIs" dxfId="359" priority="187" stopIfTrue="1" operator="notBetween">
      <formula>25</formula>
      <formula>75</formula>
    </cfRule>
  </conditionalFormatting>
  <conditionalFormatting sqref="B973">
    <cfRule type="cellIs" dxfId="358" priority="188" stopIfTrue="1" operator="notBetween">
      <formula>15</formula>
      <formula>85</formula>
    </cfRule>
    <cfRule type="cellIs" dxfId="357" priority="189" stopIfTrue="1" operator="notBetween">
      <formula>25</formula>
      <formula>75</formula>
    </cfRule>
  </conditionalFormatting>
  <conditionalFormatting sqref="B980">
    <cfRule type="cellIs" dxfId="356" priority="190" stopIfTrue="1" operator="lessThanOrEqual">
      <formula>0.05</formula>
    </cfRule>
    <cfRule type="cellIs" dxfId="355" priority="191" stopIfTrue="1" operator="lessThanOrEqual">
      <formula>0.1</formula>
    </cfRule>
  </conditionalFormatting>
  <conditionalFormatting sqref="B990">
    <cfRule type="cellIs" dxfId="354" priority="192" stopIfTrue="1" operator="notBetween">
      <formula>15</formula>
      <formula>85</formula>
    </cfRule>
    <cfRule type="cellIs" dxfId="353" priority="193" stopIfTrue="1" operator="notBetween">
      <formula>25</formula>
      <formula>75</formula>
    </cfRule>
  </conditionalFormatting>
  <conditionalFormatting sqref="B997">
    <cfRule type="cellIs" dxfId="352" priority="194" stopIfTrue="1" operator="lessThanOrEqual">
      <formula>0.05</formula>
    </cfRule>
    <cfRule type="cellIs" dxfId="351" priority="195" stopIfTrue="1" operator="lessThanOrEqual">
      <formula>0.1</formula>
    </cfRule>
  </conditionalFormatting>
  <conditionalFormatting sqref="B1007">
    <cfRule type="cellIs" dxfId="350" priority="196" stopIfTrue="1" operator="notBetween">
      <formula>15</formula>
      <formula>85</formula>
    </cfRule>
    <cfRule type="cellIs" dxfId="349" priority="197" stopIfTrue="1" operator="notBetween">
      <formula>25</formula>
      <formula>75</formula>
    </cfRule>
  </conditionalFormatting>
  <conditionalFormatting sqref="B1014">
    <cfRule type="cellIs" dxfId="348" priority="198" stopIfTrue="1" operator="lessThanOrEqual">
      <formula>0.05</formula>
    </cfRule>
    <cfRule type="cellIs" dxfId="347" priority="199" stopIfTrue="1" operator="lessThanOrEqual">
      <formula>0.1</formula>
    </cfRule>
  </conditionalFormatting>
  <conditionalFormatting sqref="B1024">
    <cfRule type="cellIs" dxfId="346" priority="200" stopIfTrue="1" operator="notBetween">
      <formula>15</formula>
      <formula>85</formula>
    </cfRule>
    <cfRule type="cellIs" dxfId="345" priority="201" stopIfTrue="1" operator="notBetween">
      <formula>25</formula>
      <formula>75</formula>
    </cfRule>
  </conditionalFormatting>
  <conditionalFormatting sqref="B1031">
    <cfRule type="cellIs" dxfId="344" priority="202" stopIfTrue="1" operator="lessThanOrEqual">
      <formula>0.05</formula>
    </cfRule>
    <cfRule type="cellIs" dxfId="343" priority="203" stopIfTrue="1" operator="lessThanOrEqual">
      <formula>0.1</formula>
    </cfRule>
  </conditionalFormatting>
  <conditionalFormatting sqref="B1041">
    <cfRule type="cellIs" dxfId="342" priority="204" stopIfTrue="1" operator="notBetween">
      <formula>15</formula>
      <formula>85</formula>
    </cfRule>
    <cfRule type="cellIs" dxfId="341" priority="205" stopIfTrue="1" operator="notBetween">
      <formula>25</formula>
      <formula>75</formula>
    </cfRule>
  </conditionalFormatting>
  <conditionalFormatting sqref="B1048">
    <cfRule type="cellIs" dxfId="340" priority="206" stopIfTrue="1" operator="lessThanOrEqual">
      <formula>0.05</formula>
    </cfRule>
    <cfRule type="cellIs" dxfId="339" priority="207" stopIfTrue="1" operator="lessThanOrEqual">
      <formula>0.1</formula>
    </cfRule>
  </conditionalFormatting>
  <conditionalFormatting sqref="B1058">
    <cfRule type="cellIs" dxfId="338" priority="208" stopIfTrue="1" operator="notBetween">
      <formula>15</formula>
      <formula>85</formula>
    </cfRule>
    <cfRule type="cellIs" dxfId="337" priority="209" stopIfTrue="1" operator="notBetween">
      <formula>25</formula>
      <formula>75</formula>
    </cfRule>
  </conditionalFormatting>
  <conditionalFormatting sqref="B1065">
    <cfRule type="cellIs" dxfId="336" priority="210" stopIfTrue="1" operator="lessThanOrEqual">
      <formula>0.05</formula>
    </cfRule>
    <cfRule type="cellIs" dxfId="335" priority="211" stopIfTrue="1" operator="lessThanOrEqual">
      <formula>0.1</formula>
    </cfRule>
  </conditionalFormatting>
  <conditionalFormatting sqref="B1075">
    <cfRule type="cellIs" dxfId="334" priority="212" stopIfTrue="1" operator="notBetween">
      <formula>15</formula>
      <formula>85</formula>
    </cfRule>
    <cfRule type="cellIs" dxfId="333" priority="213" stopIfTrue="1" operator="notBetween">
      <formula>25</formula>
      <formula>75</formula>
    </cfRule>
  </conditionalFormatting>
  <conditionalFormatting sqref="B1082">
    <cfRule type="cellIs" dxfId="332" priority="214" stopIfTrue="1" operator="lessThanOrEqual">
      <formula>0.05</formula>
    </cfRule>
    <cfRule type="cellIs" dxfId="331" priority="215" stopIfTrue="1" operator="lessThanOrEqual">
      <formula>0.1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0"/>
  <dimension ref="A1:G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26</v>
      </c>
    </row>
    <row r="2" spans="1:7">
      <c r="A2" s="2" t="s">
        <v>1772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1037</v>
      </c>
      <c r="B4" t="e">
        <f>NA()</f>
        <v>#N/A</v>
      </c>
      <c r="C4">
        <v>419.63282128137877</v>
      </c>
      <c r="D4">
        <v>416.66666666666669</v>
      </c>
      <c r="E4" t="s">
        <v>14</v>
      </c>
    </row>
    <row r="5" spans="1:7">
      <c r="A5" s="1" t="s">
        <v>1038</v>
      </c>
      <c r="B5">
        <v>437.87958311464342</v>
      </c>
      <c r="C5">
        <v>395.18682710576314</v>
      </c>
      <c r="D5">
        <v>407.90633261991695</v>
      </c>
    </row>
    <row r="6" spans="1:7">
      <c r="A6" s="1" t="s">
        <v>1039</v>
      </c>
      <c r="B6">
        <v>457.2965702757229</v>
      </c>
      <c r="C6">
        <v>394.33771486349849</v>
      </c>
      <c r="D6">
        <v>388.01144136301451</v>
      </c>
    </row>
    <row r="7" spans="1:7">
      <c r="A7" s="1" t="s">
        <v>1040</v>
      </c>
      <c r="B7">
        <v>448.12030075187965</v>
      </c>
      <c r="C7">
        <v>385.99529877520717</v>
      </c>
      <c r="D7">
        <v>391.17352056168511</v>
      </c>
    </row>
    <row r="8" spans="1:7">
      <c r="A8" s="1" t="s">
        <v>1041</v>
      </c>
      <c r="B8" t="e">
        <f>NA()</f>
        <v>#N/A</v>
      </c>
      <c r="C8">
        <v>333.92360232734632</v>
      </c>
      <c r="D8">
        <v>279.61736571008095</v>
      </c>
      <c r="E8" t="s">
        <v>14</v>
      </c>
    </row>
    <row r="9" spans="1:7">
      <c r="A9" s="1" t="s">
        <v>1042</v>
      </c>
      <c r="B9">
        <v>405.9031344742051</v>
      </c>
      <c r="C9">
        <v>340.32059186189889</v>
      </c>
      <c r="D9">
        <v>334.4735841885215</v>
      </c>
    </row>
    <row r="10" spans="1:7">
      <c r="A10" s="1" t="s">
        <v>1043</v>
      </c>
      <c r="B10">
        <v>434.63056402058248</v>
      </c>
      <c r="C10">
        <v>380.02436053593181</v>
      </c>
      <c r="D10">
        <v>419.63282128137877</v>
      </c>
    </row>
    <row r="11" spans="1:7">
      <c r="A11" s="1" t="s">
        <v>1044</v>
      </c>
      <c r="B11">
        <v>462.86787726988103</v>
      </c>
      <c r="C11">
        <v>420.57829515583933</v>
      </c>
      <c r="D11">
        <v>435.38095833854618</v>
      </c>
    </row>
    <row r="12" spans="1:7">
      <c r="A12" s="1" t="s">
        <v>1045</v>
      </c>
      <c r="B12" t="e">
        <f>NA()</f>
        <v>#N/A</v>
      </c>
      <c r="C12">
        <v>386.8567885926845</v>
      </c>
      <c r="D12">
        <v>354.8013883532588</v>
      </c>
      <c r="E12" t="s">
        <v>14</v>
      </c>
    </row>
    <row r="13" spans="1:7">
      <c r="A13" s="1" t="s">
        <v>1046</v>
      </c>
      <c r="B13">
        <v>433.90439141168548</v>
      </c>
      <c r="C13">
        <v>329.38240798502807</v>
      </c>
      <c r="D13">
        <v>364.07766990291259</v>
      </c>
    </row>
    <row r="14" spans="1:7">
      <c r="A14" s="1" t="s">
        <v>1047</v>
      </c>
      <c r="B14">
        <v>424.45075474518006</v>
      </c>
      <c r="C14">
        <v>358.47647498132937</v>
      </c>
      <c r="D14">
        <v>345.60480841472577</v>
      </c>
    </row>
    <row r="15" spans="1:7">
      <c r="A15" s="1" t="s">
        <v>1048</v>
      </c>
      <c r="B15">
        <v>441.79523141654983</v>
      </c>
      <c r="C15">
        <v>348.71049763893933</v>
      </c>
      <c r="D15">
        <v>388.68817740127071</v>
      </c>
    </row>
    <row r="16" spans="1:7">
      <c r="A16" s="1" t="s">
        <v>989</v>
      </c>
      <c r="B16" t="e">
        <f>NA()</f>
        <v>#N/A</v>
      </c>
      <c r="C16">
        <v>406.8818284566118</v>
      </c>
      <c r="D16">
        <v>387.38515023590759</v>
      </c>
      <c r="E16" t="s">
        <v>14</v>
      </c>
    </row>
    <row r="17" spans="1:4">
      <c r="A17" s="1" t="s">
        <v>990</v>
      </c>
      <c r="B17">
        <v>422.00452147701583</v>
      </c>
      <c r="C17">
        <v>369.46760744066705</v>
      </c>
      <c r="D17">
        <v>298.06259314456031</v>
      </c>
    </row>
    <row r="18" spans="1:4">
      <c r="A18" s="1" t="s">
        <v>991</v>
      </c>
      <c r="B18">
        <v>402.5938258931925</v>
      </c>
      <c r="C18">
        <v>340.95120444718964</v>
      </c>
      <c r="D18">
        <v>311.03431251542827</v>
      </c>
    </row>
    <row r="19" spans="1:4">
      <c r="A19" s="1" t="s">
        <v>992</v>
      </c>
      <c r="B19">
        <v>425.47878848410699</v>
      </c>
      <c r="C19">
        <v>346.47250815967863</v>
      </c>
      <c r="D19">
        <v>371.33308577794281</v>
      </c>
    </row>
    <row r="21" spans="1:4">
      <c r="A21" s="3" t="s">
        <v>18</v>
      </c>
      <c r="B21">
        <v>16</v>
      </c>
    </row>
    <row r="22" spans="1:4">
      <c r="A22" s="3" t="s">
        <v>191</v>
      </c>
      <c r="B22">
        <v>9</v>
      </c>
    </row>
    <row r="23" spans="1:4">
      <c r="A23" s="3" t="s">
        <v>192</v>
      </c>
      <c r="B23">
        <v>7</v>
      </c>
    </row>
    <row r="24" spans="1:4">
      <c r="A24" s="6" t="s">
        <v>193</v>
      </c>
      <c r="B24">
        <v>56.25</v>
      </c>
    </row>
    <row r="25" spans="1:4">
      <c r="A25" s="1"/>
    </row>
    <row r="26" spans="1:4">
      <c r="A26" s="4" t="s">
        <v>19</v>
      </c>
      <c r="B26">
        <v>3.9593095708234252</v>
      </c>
    </row>
    <row r="27" spans="1:4">
      <c r="A27" s="1" t="s">
        <v>20</v>
      </c>
      <c r="B27">
        <v>1049.6650108548192</v>
      </c>
    </row>
    <row r="28" spans="1:4">
      <c r="A28" s="1" t="s">
        <v>23</v>
      </c>
      <c r="B28">
        <v>32.398534084967785</v>
      </c>
    </row>
    <row r="29" spans="1:4">
      <c r="A29" s="1" t="s">
        <v>24</v>
      </c>
      <c r="B29">
        <v>8.0996335212419464</v>
      </c>
    </row>
    <row r="30" spans="1:4">
      <c r="A30" s="1" t="s">
        <v>21</v>
      </c>
      <c r="B30">
        <v>0.48882576729426269</v>
      </c>
    </row>
    <row r="31" spans="1:4">
      <c r="A31" s="4" t="s">
        <v>22</v>
      </c>
      <c r="B31">
        <f>TDIST(ABS(B30),15,1)</f>
        <v>0.31601744917704194</v>
      </c>
    </row>
    <row r="32" spans="1:4">
      <c r="A32" s="1"/>
    </row>
    <row r="33" spans="1:7">
      <c r="A33" s="5" t="s">
        <v>1773</v>
      </c>
    </row>
    <row r="34" spans="1:7">
      <c r="A34" s="4" t="s">
        <v>7</v>
      </c>
      <c r="B34" s="3" t="s">
        <v>8</v>
      </c>
      <c r="C34" s="3" t="s">
        <v>9</v>
      </c>
      <c r="D34" s="3" t="s">
        <v>10</v>
      </c>
      <c r="E34" s="3" t="s">
        <v>11</v>
      </c>
      <c r="F34" s="3" t="s">
        <v>12</v>
      </c>
      <c r="G34" s="3" t="s">
        <v>13</v>
      </c>
    </row>
    <row r="35" spans="1:7">
      <c r="A35" s="1" t="s">
        <v>1049</v>
      </c>
      <c r="B35">
        <v>453.53954795235848</v>
      </c>
      <c r="C35">
        <v>415.94454072790296</v>
      </c>
      <c r="D35">
        <v>407.85498489425987</v>
      </c>
    </row>
    <row r="36" spans="1:7">
      <c r="A36" s="1" t="s">
        <v>1050</v>
      </c>
      <c r="B36">
        <v>457.23453323974729</v>
      </c>
      <c r="C36">
        <v>431.28020820423842</v>
      </c>
      <c r="D36">
        <v>413.00191204588907</v>
      </c>
    </row>
    <row r="37" spans="1:7">
      <c r="A37" s="1" t="s">
        <v>1051</v>
      </c>
      <c r="B37">
        <v>474.08296451879079</v>
      </c>
      <c r="C37">
        <v>384.41824705279345</v>
      </c>
      <c r="D37">
        <v>382.16560509554137</v>
      </c>
    </row>
    <row r="38" spans="1:7">
      <c r="A38" s="1" t="s">
        <v>1052</v>
      </c>
      <c r="B38">
        <v>453.63508912477471</v>
      </c>
      <c r="C38">
        <v>405.20260130065031</v>
      </c>
      <c r="D38">
        <v>390.39039039039034</v>
      </c>
    </row>
    <row r="39" spans="1:7">
      <c r="A39" s="1" t="s">
        <v>1053</v>
      </c>
      <c r="B39">
        <v>457.79827951626982</v>
      </c>
      <c r="C39">
        <v>415.01976284584981</v>
      </c>
      <c r="D39">
        <v>441.73648134044174</v>
      </c>
    </row>
    <row r="40" spans="1:7">
      <c r="A40" t="s">
        <v>1054</v>
      </c>
      <c r="B40">
        <v>471.79024866651645</v>
      </c>
      <c r="C40">
        <v>431.28020820423842</v>
      </c>
      <c r="D40">
        <v>446.04138272828641</v>
      </c>
    </row>
    <row r="41" spans="1:7">
      <c r="A41" t="s">
        <v>1055</v>
      </c>
      <c r="B41" t="e">
        <f>NA()</f>
        <v>#N/A</v>
      </c>
      <c r="C41">
        <v>407.95769327625283</v>
      </c>
      <c r="D41">
        <v>431.92255181829466</v>
      </c>
      <c r="E41" t="s">
        <v>111</v>
      </c>
    </row>
    <row r="42" spans="1:7">
      <c r="A42" t="s">
        <v>1056</v>
      </c>
      <c r="B42">
        <v>458.83608605864498</v>
      </c>
      <c r="C42">
        <v>424.88619119878604</v>
      </c>
      <c r="D42">
        <v>427.09867452135489</v>
      </c>
    </row>
    <row r="43" spans="1:7">
      <c r="A43" t="s">
        <v>1057</v>
      </c>
      <c r="B43">
        <v>442.17175515115053</v>
      </c>
      <c r="C43">
        <v>371.51702786377712</v>
      </c>
      <c r="D43">
        <v>400.14820303816231</v>
      </c>
    </row>
    <row r="44" spans="1:7">
      <c r="A44" s="1" t="s">
        <v>1058</v>
      </c>
      <c r="B44">
        <v>438.60957780098465</v>
      </c>
      <c r="C44">
        <v>377.13042427172729</v>
      </c>
      <c r="D44">
        <v>379.69877230730282</v>
      </c>
    </row>
    <row r="45" spans="1:7">
      <c r="A45" s="1" t="s">
        <v>1059</v>
      </c>
      <c r="B45">
        <v>435.75167163356792</v>
      </c>
      <c r="C45">
        <v>379.74683544303804</v>
      </c>
      <c r="D45">
        <v>391.66457444137581</v>
      </c>
    </row>
    <row r="46" spans="1:7">
      <c r="A46" s="1" t="s">
        <v>1060</v>
      </c>
      <c r="B46">
        <v>439.54948669391007</v>
      </c>
      <c r="C46">
        <v>410.49030786773091</v>
      </c>
      <c r="D46">
        <v>411.74227983225319</v>
      </c>
    </row>
    <row r="47" spans="1:7">
      <c r="A47" s="1" t="s">
        <v>993</v>
      </c>
      <c r="B47">
        <v>456.73076923076923</v>
      </c>
      <c r="C47">
        <v>366.17927527018435</v>
      </c>
      <c r="D47">
        <v>376.83708076874768</v>
      </c>
    </row>
    <row r="48" spans="1:7">
      <c r="A48" s="1" t="s">
        <v>994</v>
      </c>
      <c r="B48">
        <v>432.11883267898673</v>
      </c>
      <c r="C48" t="e">
        <f>NA()</f>
        <v>#N/A</v>
      </c>
      <c r="D48">
        <v>357.27577223669522</v>
      </c>
      <c r="F48" t="s">
        <v>42</v>
      </c>
    </row>
    <row r="49" spans="1:4">
      <c r="A49" s="1" t="s">
        <v>995</v>
      </c>
      <c r="B49">
        <v>411.99909781219458</v>
      </c>
      <c r="C49">
        <v>343.11287916459474</v>
      </c>
      <c r="D49">
        <v>374.71896077941545</v>
      </c>
    </row>
    <row r="50" spans="1:4">
      <c r="A50" s="1" t="s">
        <v>996</v>
      </c>
      <c r="B50">
        <v>435.30113297555164</v>
      </c>
      <c r="C50">
        <v>345.86466165413532</v>
      </c>
      <c r="D50">
        <v>362.99470632719937</v>
      </c>
    </row>
    <row r="51" spans="1:4">
      <c r="A51" s="1"/>
    </row>
    <row r="52" spans="1:4">
      <c r="A52" s="4" t="s">
        <v>18</v>
      </c>
      <c r="B52">
        <v>15</v>
      </c>
    </row>
    <row r="53" spans="1:4">
      <c r="A53" s="4" t="s">
        <v>191</v>
      </c>
      <c r="B53">
        <v>4</v>
      </c>
    </row>
    <row r="54" spans="1:4">
      <c r="A54" s="4" t="s">
        <v>192</v>
      </c>
      <c r="B54">
        <v>11</v>
      </c>
    </row>
    <row r="55" spans="1:4">
      <c r="A55" s="6" t="s">
        <v>193</v>
      </c>
      <c r="B55">
        <v>26.666666666666668</v>
      </c>
    </row>
    <row r="56" spans="1:4">
      <c r="A56" s="1"/>
    </row>
    <row r="57" spans="1:4">
      <c r="A57" s="4" t="s">
        <v>19</v>
      </c>
      <c r="B57">
        <v>-8.5323797322009973</v>
      </c>
    </row>
    <row r="58" spans="1:4">
      <c r="A58" s="1" t="s">
        <v>20</v>
      </c>
      <c r="B58">
        <v>244.19910607282458</v>
      </c>
    </row>
    <row r="59" spans="1:4">
      <c r="A59" s="1" t="s">
        <v>23</v>
      </c>
      <c r="B59">
        <v>15.62687128227607</v>
      </c>
    </row>
    <row r="60" spans="1:4">
      <c r="A60" s="1" t="s">
        <v>24</v>
      </c>
      <c r="B60">
        <v>4.0348408153054773</v>
      </c>
    </row>
    <row r="61" spans="1:4">
      <c r="A61" s="1" t="s">
        <v>21</v>
      </c>
      <c r="B61">
        <v>-2.1146756768779764</v>
      </c>
    </row>
    <row r="62" spans="1:4">
      <c r="A62" s="4" t="s">
        <v>22</v>
      </c>
      <c r="B62">
        <f>TDIST(ABS(B61),14,1)</f>
        <v>2.6438174915945304E-2</v>
      </c>
    </row>
    <row r="63" spans="1:4">
      <c r="A63" s="1"/>
    </row>
    <row r="64" spans="1:4">
      <c r="A64" s="5" t="s">
        <v>1774</v>
      </c>
    </row>
    <row r="65" spans="1:7">
      <c r="A65" s="4" t="s">
        <v>7</v>
      </c>
      <c r="B65" s="3" t="s">
        <v>8</v>
      </c>
      <c r="C65" s="3" t="s">
        <v>9</v>
      </c>
      <c r="D65" s="3" t="s">
        <v>10</v>
      </c>
      <c r="E65" s="3" t="s">
        <v>11</v>
      </c>
      <c r="F65" s="3" t="s">
        <v>12</v>
      </c>
      <c r="G65" s="3" t="s">
        <v>13</v>
      </c>
    </row>
    <row r="66" spans="1:7">
      <c r="A66" t="s">
        <v>1061</v>
      </c>
      <c r="B66">
        <v>446.15231060984127</v>
      </c>
      <c r="C66">
        <v>410.85467917829061</v>
      </c>
      <c r="D66">
        <v>400.791687283523</v>
      </c>
    </row>
    <row r="67" spans="1:7">
      <c r="A67" t="s">
        <v>1062</v>
      </c>
      <c r="B67">
        <v>438.14377237089343</v>
      </c>
      <c r="C67">
        <v>363.45280161534578</v>
      </c>
      <c r="D67">
        <v>363.49867474441498</v>
      </c>
    </row>
    <row r="68" spans="1:7">
      <c r="A68" t="s">
        <v>1063</v>
      </c>
      <c r="B68">
        <v>426.86567164179104</v>
      </c>
      <c r="C68">
        <v>374.12314886983631</v>
      </c>
      <c r="D68">
        <v>363.04046388503718</v>
      </c>
    </row>
    <row r="69" spans="1:7">
      <c r="A69" t="s">
        <v>1064</v>
      </c>
      <c r="B69">
        <v>442.92590468114821</v>
      </c>
      <c r="C69">
        <v>394.0886699507389</v>
      </c>
      <c r="D69">
        <v>367.67522022213711</v>
      </c>
    </row>
    <row r="70" spans="1:7">
      <c r="A70" s="1" t="s">
        <v>1065</v>
      </c>
      <c r="B70">
        <v>452.12965042293581</v>
      </c>
      <c r="C70">
        <v>422.16358839050133</v>
      </c>
      <c r="D70">
        <v>425.531914893617</v>
      </c>
    </row>
    <row r="71" spans="1:7">
      <c r="A71" s="1" t="s">
        <v>1066</v>
      </c>
      <c r="B71">
        <v>441.97795087474805</v>
      </c>
      <c r="C71">
        <v>422.85426629750822</v>
      </c>
      <c r="D71">
        <v>423.66691015339666</v>
      </c>
    </row>
    <row r="72" spans="1:7">
      <c r="A72" s="1" t="s">
        <v>1067</v>
      </c>
      <c r="B72">
        <v>454.95360670457944</v>
      </c>
      <c r="C72">
        <v>417.63341067285381</v>
      </c>
      <c r="D72">
        <v>415.07103150092655</v>
      </c>
    </row>
    <row r="73" spans="1:7">
      <c r="A73" s="1" t="s">
        <v>1068</v>
      </c>
      <c r="B73">
        <v>436.54975161824478</v>
      </c>
      <c r="C73">
        <v>423.01397456880272</v>
      </c>
      <c r="D73">
        <v>428.35288118306983</v>
      </c>
    </row>
    <row r="74" spans="1:7">
      <c r="A74" s="1" t="s">
        <v>1069</v>
      </c>
      <c r="B74">
        <v>434.28343233664458</v>
      </c>
      <c r="C74">
        <v>380.76641444959728</v>
      </c>
      <c r="D74">
        <v>380.30229156509017</v>
      </c>
    </row>
    <row r="75" spans="1:7">
      <c r="A75" s="1" t="s">
        <v>1070</v>
      </c>
      <c r="B75">
        <v>442.62785365367364</v>
      </c>
      <c r="C75">
        <v>374.43834248627059</v>
      </c>
      <c r="D75">
        <v>366.79300648000975</v>
      </c>
    </row>
    <row r="76" spans="1:7">
      <c r="A76" s="1" t="s">
        <v>1071</v>
      </c>
      <c r="B76">
        <v>467.50911542879976</v>
      </c>
      <c r="C76">
        <v>436.14488031081584</v>
      </c>
      <c r="D76">
        <v>396.74465920651068</v>
      </c>
    </row>
    <row r="77" spans="1:7">
      <c r="A77" s="1" t="s">
        <v>1072</v>
      </c>
      <c r="B77">
        <v>427.39726027397256</v>
      </c>
      <c r="C77">
        <v>356.03906539745333</v>
      </c>
      <c r="D77">
        <v>384.27052645062128</v>
      </c>
    </row>
    <row r="78" spans="1:7">
      <c r="A78" s="1" t="s">
        <v>997</v>
      </c>
      <c r="B78">
        <v>424.41903907942913</v>
      </c>
      <c r="C78">
        <v>356.52389205248824</v>
      </c>
      <c r="D78">
        <v>363.45280161534578</v>
      </c>
    </row>
    <row r="79" spans="1:7">
      <c r="A79" s="1" t="s">
        <v>998</v>
      </c>
      <c r="B79">
        <v>450.32614860900503</v>
      </c>
      <c r="C79">
        <v>451.01842870999036</v>
      </c>
      <c r="D79">
        <v>348.1771161851899</v>
      </c>
    </row>
    <row r="80" spans="1:7">
      <c r="A80" s="1" t="s">
        <v>999</v>
      </c>
      <c r="B80">
        <v>377.60351630787676</v>
      </c>
      <c r="C80">
        <v>329.46461999251216</v>
      </c>
      <c r="D80">
        <v>342.38928172683291</v>
      </c>
    </row>
    <row r="81" spans="1:7">
      <c r="A81" s="1" t="s">
        <v>1000</v>
      </c>
      <c r="B81">
        <v>390.81145584725539</v>
      </c>
      <c r="C81">
        <v>358.90767230169047</v>
      </c>
      <c r="D81">
        <v>355.73122529644274</v>
      </c>
    </row>
    <row r="82" spans="1:7">
      <c r="A82" s="1"/>
    </row>
    <row r="83" spans="1:7">
      <c r="A83" s="4" t="s">
        <v>18</v>
      </c>
      <c r="B83">
        <v>16</v>
      </c>
    </row>
    <row r="84" spans="1:7">
      <c r="A84" s="4" t="s">
        <v>191</v>
      </c>
      <c r="B84">
        <v>9</v>
      </c>
    </row>
    <row r="85" spans="1:7">
      <c r="A85" s="4" t="s">
        <v>192</v>
      </c>
      <c r="B85">
        <v>7</v>
      </c>
    </row>
    <row r="86" spans="1:7">
      <c r="A86" s="6" t="s">
        <v>193</v>
      </c>
      <c r="B86">
        <v>56.25</v>
      </c>
    </row>
    <row r="87" spans="1:7">
      <c r="A87" s="1"/>
    </row>
    <row r="88" spans="1:7">
      <c r="A88" s="4" t="s">
        <v>19</v>
      </c>
      <c r="B88">
        <v>9.1248851782831508</v>
      </c>
    </row>
    <row r="89" spans="1:7">
      <c r="A89" s="1" t="s">
        <v>20</v>
      </c>
      <c r="B89">
        <v>856.41085535691957</v>
      </c>
    </row>
    <row r="90" spans="1:7">
      <c r="A90" t="s">
        <v>23</v>
      </c>
      <c r="B90">
        <v>29.264498207844255</v>
      </c>
    </row>
    <row r="91" spans="1:7">
      <c r="A91" t="s">
        <v>24</v>
      </c>
      <c r="B91">
        <v>7.3161245519610638</v>
      </c>
    </row>
    <row r="92" spans="1:7">
      <c r="A92" t="s">
        <v>21</v>
      </c>
      <c r="B92">
        <v>1.2472293375373515</v>
      </c>
    </row>
    <row r="93" spans="1:7">
      <c r="A93" s="3" t="s">
        <v>22</v>
      </c>
      <c r="B93">
        <f>TDIST(ABS(B92),15,1)</f>
        <v>0.11571814029578215</v>
      </c>
    </row>
    <row r="94" spans="1:7">
      <c r="A94" s="1"/>
    </row>
    <row r="95" spans="1:7">
      <c r="A95" s="2" t="s">
        <v>1775</v>
      </c>
    </row>
    <row r="96" spans="1:7">
      <c r="A96" s="3" t="s">
        <v>7</v>
      </c>
      <c r="B96" s="3" t="s">
        <v>8</v>
      </c>
      <c r="C96" s="3" t="s">
        <v>9</v>
      </c>
      <c r="D96" s="3" t="s">
        <v>10</v>
      </c>
      <c r="E96" s="3" t="s">
        <v>11</v>
      </c>
      <c r="F96" s="3" t="s">
        <v>12</v>
      </c>
      <c r="G96" s="3" t="s">
        <v>13</v>
      </c>
    </row>
    <row r="97" spans="1:4">
      <c r="A97" t="s">
        <v>1073</v>
      </c>
      <c r="B97">
        <v>413.77227423739049</v>
      </c>
      <c r="C97">
        <v>344.95688038995127</v>
      </c>
      <c r="D97">
        <v>356.78889990089198</v>
      </c>
    </row>
    <row r="98" spans="1:4">
      <c r="A98" t="s">
        <v>1074</v>
      </c>
      <c r="B98">
        <v>400.35118525021949</v>
      </c>
      <c r="C98">
        <v>353.28753680078512</v>
      </c>
      <c r="D98">
        <v>361.62005785920923</v>
      </c>
    </row>
    <row r="99" spans="1:4">
      <c r="A99" s="1" t="s">
        <v>1075</v>
      </c>
      <c r="B99">
        <v>431.32917755881761</v>
      </c>
      <c r="C99">
        <v>371.19524870081665</v>
      </c>
      <c r="D99">
        <v>361.94545683046374</v>
      </c>
    </row>
    <row r="100" spans="1:4">
      <c r="A100" s="1" t="s">
        <v>1076</v>
      </c>
      <c r="B100">
        <v>421.16874326255362</v>
      </c>
      <c r="C100">
        <v>410.15625</v>
      </c>
      <c r="D100">
        <v>411.51255358236375</v>
      </c>
    </row>
    <row r="101" spans="1:4">
      <c r="A101" s="1" t="s">
        <v>1077</v>
      </c>
      <c r="B101">
        <v>435.47902692962253</v>
      </c>
      <c r="C101">
        <v>414.90587783326936</v>
      </c>
      <c r="D101">
        <v>424.83246933872806</v>
      </c>
    </row>
    <row r="102" spans="1:4">
      <c r="A102" s="1" t="s">
        <v>1078</v>
      </c>
      <c r="B102">
        <v>403.01761948921023</v>
      </c>
      <c r="C102">
        <v>409.75609756097566</v>
      </c>
      <c r="D102">
        <v>411.3241081630062</v>
      </c>
    </row>
    <row r="103" spans="1:4">
      <c r="A103" s="1" t="s">
        <v>1079</v>
      </c>
      <c r="B103">
        <v>444.90092437185302</v>
      </c>
      <c r="C103">
        <v>404.34294271808312</v>
      </c>
      <c r="D103">
        <v>400</v>
      </c>
    </row>
    <row r="104" spans="1:4">
      <c r="A104" s="1" t="s">
        <v>1080</v>
      </c>
      <c r="B104">
        <v>420.9049456331112</v>
      </c>
      <c r="C104">
        <v>376.4115432873275</v>
      </c>
      <c r="D104">
        <v>402.43448018879644</v>
      </c>
    </row>
    <row r="105" spans="1:4">
      <c r="A105" s="1" t="s">
        <v>1081</v>
      </c>
      <c r="B105">
        <v>400.9375155837032</v>
      </c>
      <c r="C105">
        <v>347.12614765438309</v>
      </c>
      <c r="D105">
        <v>354.46153846153851</v>
      </c>
    </row>
    <row r="106" spans="1:4">
      <c r="A106" s="1" t="s">
        <v>1082</v>
      </c>
      <c r="B106">
        <v>378.29317721233957</v>
      </c>
      <c r="C106">
        <v>343.53995519044065</v>
      </c>
      <c r="D106">
        <v>352.03520352035201</v>
      </c>
    </row>
    <row r="107" spans="1:4">
      <c r="A107" s="1" t="s">
        <v>1083</v>
      </c>
      <c r="B107">
        <v>418.0241591900155</v>
      </c>
      <c r="C107">
        <v>343.53995519044065</v>
      </c>
      <c r="D107">
        <v>362.2641509433962</v>
      </c>
    </row>
    <row r="108" spans="1:4">
      <c r="A108" s="1" t="s">
        <v>1084</v>
      </c>
      <c r="B108">
        <v>410.13870871170542</v>
      </c>
      <c r="C108">
        <v>338.15806327654673</v>
      </c>
      <c r="D108">
        <v>345</v>
      </c>
    </row>
    <row r="109" spans="1:4">
      <c r="A109" s="1" t="s">
        <v>1001</v>
      </c>
      <c r="B109">
        <v>409.41825798910412</v>
      </c>
      <c r="C109">
        <v>333.50176856998479</v>
      </c>
      <c r="D109">
        <v>342.7294176083447</v>
      </c>
    </row>
    <row r="110" spans="1:4">
      <c r="A110" s="1" t="s">
        <v>1002</v>
      </c>
      <c r="B110">
        <v>384.88523604289867</v>
      </c>
      <c r="C110">
        <v>354.59456554776932</v>
      </c>
      <c r="D110">
        <v>363.4069400630915</v>
      </c>
    </row>
    <row r="111" spans="1:4">
      <c r="A111" s="1" t="s">
        <v>1003</v>
      </c>
      <c r="B111">
        <v>406.17222498755604</v>
      </c>
      <c r="C111">
        <v>330.82706766917289</v>
      </c>
      <c r="D111">
        <v>341.79566563467495</v>
      </c>
    </row>
    <row r="112" spans="1:4">
      <c r="A112" s="1" t="s">
        <v>1004</v>
      </c>
      <c r="B112">
        <v>379.18495297805646</v>
      </c>
      <c r="C112">
        <v>331.11752163551989</v>
      </c>
      <c r="D112">
        <v>338.85819521178632</v>
      </c>
    </row>
    <row r="113" spans="1:7">
      <c r="A113" s="1"/>
    </row>
    <row r="114" spans="1:7">
      <c r="A114" s="4" t="s">
        <v>18</v>
      </c>
      <c r="B114">
        <v>16</v>
      </c>
    </row>
    <row r="115" spans="1:7">
      <c r="A115" s="4" t="s">
        <v>191</v>
      </c>
      <c r="B115">
        <v>2</v>
      </c>
    </row>
    <row r="116" spans="1:7">
      <c r="A116" s="4" t="s">
        <v>192</v>
      </c>
      <c r="B116">
        <v>14</v>
      </c>
    </row>
    <row r="117" spans="1:7">
      <c r="A117" s="6" t="s">
        <v>193</v>
      </c>
      <c r="B117">
        <v>12.5</v>
      </c>
    </row>
    <row r="118" spans="1:7">
      <c r="A118" s="1"/>
    </row>
    <row r="119" spans="1:7">
      <c r="A119" s="4" t="s">
        <v>19</v>
      </c>
      <c r="B119">
        <v>-7.7244822050735573</v>
      </c>
    </row>
    <row r="120" spans="1:7">
      <c r="A120" t="s">
        <v>20</v>
      </c>
      <c r="B120">
        <v>67.040966431956846</v>
      </c>
    </row>
    <row r="121" spans="1:7">
      <c r="A121" t="s">
        <v>23</v>
      </c>
      <c r="B121">
        <v>8.1878548125841153</v>
      </c>
    </row>
    <row r="122" spans="1:7">
      <c r="A122" t="s">
        <v>24</v>
      </c>
      <c r="B122">
        <v>2.0469637031460288</v>
      </c>
    </row>
    <row r="123" spans="1:7">
      <c r="A123" t="s">
        <v>21</v>
      </c>
      <c r="B123">
        <v>-3.7736292994358478</v>
      </c>
    </row>
    <row r="124" spans="1:7">
      <c r="A124" s="4" t="s">
        <v>22</v>
      </c>
      <c r="B124">
        <f>TDIST(ABS(B123),15,1)</f>
        <v>9.1990984178432628E-4</v>
      </c>
    </row>
    <row r="125" spans="1:7">
      <c r="A125" s="1"/>
    </row>
    <row r="126" spans="1:7">
      <c r="A126" s="5" t="s">
        <v>1776</v>
      </c>
    </row>
    <row r="127" spans="1:7">
      <c r="A127" s="4" t="s">
        <v>7</v>
      </c>
      <c r="B127" s="3" t="s">
        <v>8</v>
      </c>
      <c r="C127" s="3" t="s">
        <v>9</v>
      </c>
      <c r="D127" s="3" t="s">
        <v>10</v>
      </c>
      <c r="E127" s="3" t="s">
        <v>11</v>
      </c>
      <c r="F127" s="3" t="s">
        <v>12</v>
      </c>
      <c r="G127" s="3" t="s">
        <v>13</v>
      </c>
    </row>
    <row r="128" spans="1:7">
      <c r="A128" s="1" t="s">
        <v>1085</v>
      </c>
      <c r="B128">
        <v>446.08294497895366</v>
      </c>
      <c r="C128">
        <v>358.56573705179284</v>
      </c>
      <c r="D128">
        <v>382.30608993995833</v>
      </c>
    </row>
    <row r="129" spans="1:4">
      <c r="A129" s="1" t="s">
        <v>1086</v>
      </c>
      <c r="B129">
        <v>418.22330316174816</v>
      </c>
      <c r="C129">
        <v>378.8357115797449</v>
      </c>
      <c r="D129">
        <v>400.97673820845648</v>
      </c>
    </row>
    <row r="130" spans="1:4">
      <c r="A130" s="1" t="s">
        <v>1087</v>
      </c>
      <c r="B130">
        <v>418.76930029374103</v>
      </c>
      <c r="C130">
        <v>378.73270211216311</v>
      </c>
      <c r="D130">
        <v>383.43558282208591</v>
      </c>
    </row>
    <row r="131" spans="1:4">
      <c r="A131" s="1" t="s">
        <v>1088</v>
      </c>
      <c r="B131">
        <v>413.0134405225474</v>
      </c>
      <c r="C131">
        <v>371.51702786377706</v>
      </c>
      <c r="D131">
        <v>406.32054176072239</v>
      </c>
    </row>
    <row r="132" spans="1:4">
      <c r="A132" s="1" t="s">
        <v>1089</v>
      </c>
      <c r="B132">
        <v>404.85829959514166</v>
      </c>
      <c r="C132">
        <v>359.64035964035963</v>
      </c>
      <c r="D132">
        <v>368.45983787767136</v>
      </c>
    </row>
    <row r="133" spans="1:4">
      <c r="A133" s="1" t="s">
        <v>1090</v>
      </c>
      <c r="B133">
        <v>415.92898286911202</v>
      </c>
      <c r="C133">
        <v>370.09622501850481</v>
      </c>
      <c r="D133">
        <v>403.63772268593493</v>
      </c>
    </row>
    <row r="134" spans="1:4">
      <c r="A134" s="1" t="s">
        <v>1091</v>
      </c>
      <c r="B134">
        <v>416.15359485336614</v>
      </c>
      <c r="C134">
        <v>394.64068209500607</v>
      </c>
      <c r="D134">
        <v>392.00904636260839</v>
      </c>
    </row>
    <row r="135" spans="1:4">
      <c r="A135" s="1" t="s">
        <v>1092</v>
      </c>
      <c r="B135">
        <v>429.81665163811243</v>
      </c>
      <c r="C135">
        <v>370.64492216456637</v>
      </c>
      <c r="D135">
        <v>366.69213139801377</v>
      </c>
    </row>
    <row r="136" spans="1:4">
      <c r="A136" s="1" t="s">
        <v>1093</v>
      </c>
      <c r="B136">
        <v>374.55989212675109</v>
      </c>
      <c r="C136">
        <v>361.49115099786621</v>
      </c>
      <c r="D136">
        <v>365.9931376286695</v>
      </c>
    </row>
    <row r="137" spans="1:4">
      <c r="A137" s="1" t="s">
        <v>1094</v>
      </c>
      <c r="B137">
        <v>411.39082128021619</v>
      </c>
      <c r="C137">
        <v>351.90615835777129</v>
      </c>
      <c r="D137">
        <v>358.29808410052249</v>
      </c>
    </row>
    <row r="138" spans="1:4">
      <c r="A138" s="1" t="s">
        <v>1095</v>
      </c>
      <c r="B138">
        <v>433.85472896633104</v>
      </c>
      <c r="C138">
        <v>339.69230769230774</v>
      </c>
      <c r="D138">
        <v>359.86505060602275</v>
      </c>
    </row>
    <row r="139" spans="1:4">
      <c r="A139" s="1" t="s">
        <v>1096</v>
      </c>
      <c r="B139">
        <v>383.76973815710573</v>
      </c>
      <c r="C139">
        <v>355.42391706775265</v>
      </c>
      <c r="D139">
        <v>357.89735305082638</v>
      </c>
    </row>
    <row r="140" spans="1:4">
      <c r="A140" s="1" t="s">
        <v>1005</v>
      </c>
      <c r="B140">
        <v>411.31932993668562</v>
      </c>
      <c r="C140">
        <v>369.45812807881771</v>
      </c>
      <c r="D140">
        <v>343.71108343711086</v>
      </c>
    </row>
    <row r="141" spans="1:4">
      <c r="A141" s="1" t="s">
        <v>1006</v>
      </c>
      <c r="B141">
        <v>379.44427845832087</v>
      </c>
      <c r="C141">
        <v>330.12379642365886</v>
      </c>
      <c r="D141">
        <v>342.47425238863383</v>
      </c>
    </row>
    <row r="142" spans="1:4">
      <c r="A142" s="1" t="s">
        <v>1007</v>
      </c>
      <c r="B142">
        <v>382.68380875853757</v>
      </c>
      <c r="C142">
        <v>329.50574138791814</v>
      </c>
      <c r="D142">
        <v>343.71108343711086</v>
      </c>
    </row>
    <row r="143" spans="1:4">
      <c r="A143" s="1" t="s">
        <v>1008</v>
      </c>
      <c r="B143">
        <v>383.01373962047728</v>
      </c>
      <c r="C143">
        <v>326.00642133860208</v>
      </c>
      <c r="D143">
        <v>331.53334170538739</v>
      </c>
    </row>
    <row r="145" spans="1:7">
      <c r="A145" s="3" t="s">
        <v>18</v>
      </c>
      <c r="B145">
        <v>16</v>
      </c>
    </row>
    <row r="146" spans="1:7">
      <c r="A146" s="3" t="s">
        <v>191</v>
      </c>
      <c r="B146">
        <v>3</v>
      </c>
    </row>
    <row r="147" spans="1:7">
      <c r="A147" s="3" t="s">
        <v>192</v>
      </c>
      <c r="B147">
        <v>13</v>
      </c>
    </row>
    <row r="148" spans="1:7">
      <c r="A148" s="6" t="s">
        <v>193</v>
      </c>
      <c r="B148">
        <v>18.75</v>
      </c>
    </row>
    <row r="149" spans="1:7">
      <c r="A149" s="1"/>
    </row>
    <row r="150" spans="1:7">
      <c r="A150" s="4" t="s">
        <v>19</v>
      </c>
      <c r="B150">
        <v>-10.065005533695384</v>
      </c>
    </row>
    <row r="151" spans="1:7">
      <c r="A151" s="1" t="s">
        <v>20</v>
      </c>
      <c r="B151">
        <v>227.57944837709647</v>
      </c>
    </row>
    <row r="152" spans="1:7">
      <c r="A152" s="1" t="s">
        <v>23</v>
      </c>
      <c r="B152">
        <v>15.085736587157303</v>
      </c>
    </row>
    <row r="153" spans="1:7">
      <c r="A153" s="1" t="s">
        <v>24</v>
      </c>
      <c r="B153">
        <v>3.7714341467893258</v>
      </c>
    </row>
    <row r="154" spans="1:7">
      <c r="A154" s="1" t="s">
        <v>21</v>
      </c>
      <c r="B154">
        <v>-2.6687475220172843</v>
      </c>
    </row>
    <row r="155" spans="1:7">
      <c r="A155" s="4" t="s">
        <v>22</v>
      </c>
      <c r="B155">
        <f>TDIST(ABS(B154),15,1)</f>
        <v>8.7610260166542768E-3</v>
      </c>
    </row>
    <row r="157" spans="1:7">
      <c r="A157" s="2" t="s">
        <v>1777</v>
      </c>
    </row>
    <row r="158" spans="1:7">
      <c r="A158" s="3" t="s">
        <v>7</v>
      </c>
      <c r="B158" s="3" t="s">
        <v>8</v>
      </c>
      <c r="C158" s="3" t="s">
        <v>9</v>
      </c>
      <c r="D158" s="3" t="s">
        <v>10</v>
      </c>
      <c r="E158" s="3" t="s">
        <v>11</v>
      </c>
      <c r="F158" s="3" t="s">
        <v>12</v>
      </c>
      <c r="G158" s="3" t="s">
        <v>13</v>
      </c>
    </row>
    <row r="159" spans="1:7">
      <c r="A159" t="s">
        <v>1097</v>
      </c>
      <c r="B159">
        <v>416.5626092602767</v>
      </c>
      <c r="C159">
        <v>357.23530934506857</v>
      </c>
      <c r="D159">
        <v>371.66085946573753</v>
      </c>
    </row>
    <row r="160" spans="1:7">
      <c r="A160" s="1" t="s">
        <v>1098</v>
      </c>
      <c r="B160">
        <v>416.09499338937809</v>
      </c>
      <c r="C160">
        <v>357.89735305082638</v>
      </c>
      <c r="D160">
        <v>379.21880925293897</v>
      </c>
    </row>
    <row r="161" spans="1:7">
      <c r="A161" s="1" t="s">
        <v>1099</v>
      </c>
      <c r="B161">
        <v>428.42163079842214</v>
      </c>
      <c r="C161">
        <v>365.20415926959163</v>
      </c>
      <c r="D161">
        <v>381.13852919618864</v>
      </c>
    </row>
    <row r="162" spans="1:7">
      <c r="A162" s="1" t="s">
        <v>1100</v>
      </c>
      <c r="B162">
        <v>426.5224900503116</v>
      </c>
      <c r="C162">
        <v>457.89875349783767</v>
      </c>
      <c r="D162">
        <v>422.32277526395177</v>
      </c>
    </row>
    <row r="163" spans="1:7">
      <c r="A163" s="1" t="s">
        <v>1101</v>
      </c>
      <c r="B163">
        <v>385.55417185554171</v>
      </c>
      <c r="C163">
        <v>363.49867474441498</v>
      </c>
      <c r="D163">
        <v>405.13066345036879</v>
      </c>
    </row>
    <row r="164" spans="1:7">
      <c r="A164" s="1" t="s">
        <v>1102</v>
      </c>
      <c r="B164">
        <v>381.7826544416053</v>
      </c>
      <c r="C164">
        <v>345.17258629314654</v>
      </c>
      <c r="D164">
        <v>388.88196435248659</v>
      </c>
    </row>
    <row r="165" spans="1:7">
      <c r="A165" s="1" t="s">
        <v>1103</v>
      </c>
      <c r="B165">
        <v>390.69348092864834</v>
      </c>
      <c r="C165">
        <v>380.90401218892839</v>
      </c>
      <c r="D165">
        <v>395.23688877628581</v>
      </c>
    </row>
    <row r="166" spans="1:7">
      <c r="A166" s="1" t="s">
        <v>1104</v>
      </c>
      <c r="B166">
        <v>395.80209895052474</v>
      </c>
      <c r="C166">
        <v>370.41610075317936</v>
      </c>
      <c r="D166">
        <v>375.09377344336082</v>
      </c>
    </row>
    <row r="167" spans="1:7">
      <c r="A167" t="s">
        <v>1105</v>
      </c>
      <c r="B167">
        <v>393.67909644136137</v>
      </c>
      <c r="C167">
        <v>376.08123354644601</v>
      </c>
      <c r="D167">
        <v>365.58615647087493</v>
      </c>
    </row>
    <row r="168" spans="1:7">
      <c r="A168" t="s">
        <v>1106</v>
      </c>
      <c r="B168">
        <v>412.26772324899065</v>
      </c>
      <c r="C168">
        <v>338.65030674846628</v>
      </c>
      <c r="D168">
        <v>352.37978710387858</v>
      </c>
    </row>
    <row r="169" spans="1:7">
      <c r="A169" t="s">
        <v>1107</v>
      </c>
      <c r="B169">
        <v>414.78809738503156</v>
      </c>
      <c r="C169" t="e">
        <f>NA()</f>
        <v>#N/A</v>
      </c>
      <c r="D169" t="e">
        <f>NA()</f>
        <v>#N/A</v>
      </c>
      <c r="F169" t="s">
        <v>112</v>
      </c>
      <c r="G169" t="s">
        <v>40</v>
      </c>
    </row>
    <row r="170" spans="1:7">
      <c r="A170" t="s">
        <v>1108</v>
      </c>
      <c r="B170">
        <v>416.53140217255589</v>
      </c>
      <c r="C170">
        <v>360.0450056257032</v>
      </c>
      <c r="D170">
        <v>370.9956850022208</v>
      </c>
    </row>
    <row r="171" spans="1:7">
      <c r="A171" s="1" t="s">
        <v>1009</v>
      </c>
      <c r="B171">
        <v>357.54525651618718</v>
      </c>
      <c r="C171">
        <v>324.40782698249228</v>
      </c>
      <c r="D171">
        <v>329.46461999251216</v>
      </c>
    </row>
    <row r="172" spans="1:7">
      <c r="A172" s="1" t="s">
        <v>1010</v>
      </c>
      <c r="B172">
        <v>376.34167266541596</v>
      </c>
      <c r="C172">
        <v>331.82503770739066</v>
      </c>
      <c r="D172">
        <v>340.44652769211791</v>
      </c>
    </row>
    <row r="173" spans="1:7">
      <c r="A173" s="1" t="s">
        <v>1011</v>
      </c>
      <c r="B173">
        <v>411.77207263619289</v>
      </c>
      <c r="C173">
        <v>396.5429588205389</v>
      </c>
      <c r="D173">
        <v>363.91205458680821</v>
      </c>
    </row>
    <row r="174" spans="1:7">
      <c r="A174" s="1" t="s">
        <v>1012</v>
      </c>
      <c r="B174">
        <v>398.44218094667468</v>
      </c>
      <c r="C174">
        <v>342.21946683199013</v>
      </c>
      <c r="D174">
        <v>327.13754646840147</v>
      </c>
    </row>
    <row r="175" spans="1:7">
      <c r="A175" s="1"/>
    </row>
    <row r="176" spans="1:7">
      <c r="A176" s="4" t="s">
        <v>18</v>
      </c>
      <c r="B176">
        <v>15</v>
      </c>
    </row>
    <row r="177" spans="1:7">
      <c r="A177" s="4" t="s">
        <v>191</v>
      </c>
      <c r="B177">
        <v>4</v>
      </c>
    </row>
    <row r="178" spans="1:7">
      <c r="A178" s="4" t="s">
        <v>192</v>
      </c>
      <c r="B178">
        <v>11</v>
      </c>
    </row>
    <row r="179" spans="1:7">
      <c r="A179" s="6" t="s">
        <v>193</v>
      </c>
      <c r="B179">
        <v>26.666666666666668</v>
      </c>
    </row>
    <row r="180" spans="1:7">
      <c r="A180" s="1"/>
    </row>
    <row r="181" spans="1:7">
      <c r="A181" s="4" t="s">
        <v>19</v>
      </c>
      <c r="B181">
        <v>-6.7071903408074638</v>
      </c>
    </row>
    <row r="182" spans="1:7">
      <c r="A182" s="1" t="s">
        <v>20</v>
      </c>
      <c r="B182">
        <v>513.51483190280339</v>
      </c>
    </row>
    <row r="183" spans="1:7">
      <c r="A183" s="1" t="s">
        <v>23</v>
      </c>
      <c r="B183">
        <v>22.660865647693235</v>
      </c>
    </row>
    <row r="184" spans="1:7">
      <c r="A184" s="1" t="s">
        <v>24</v>
      </c>
      <c r="B184">
        <v>5.8510103509439775</v>
      </c>
    </row>
    <row r="185" spans="1:7">
      <c r="A185" s="1" t="s">
        <v>21</v>
      </c>
      <c r="B185">
        <v>-1.1463302811838905</v>
      </c>
    </row>
    <row r="186" spans="1:7">
      <c r="A186" s="4" t="s">
        <v>22</v>
      </c>
      <c r="B186">
        <f>TDIST(ABS(B185),14,1)</f>
        <v>0.13543720560838723</v>
      </c>
    </row>
    <row r="188" spans="1:7">
      <c r="A188" s="2" t="s">
        <v>1778</v>
      </c>
    </row>
    <row r="189" spans="1:7">
      <c r="A189" s="3" t="s">
        <v>7</v>
      </c>
      <c r="B189" s="3" t="s">
        <v>8</v>
      </c>
      <c r="C189" s="3" t="s">
        <v>9</v>
      </c>
      <c r="D189" s="3" t="s">
        <v>10</v>
      </c>
      <c r="E189" s="3" t="s">
        <v>11</v>
      </c>
      <c r="F189" s="3" t="s">
        <v>12</v>
      </c>
      <c r="G189" s="3" t="s">
        <v>13</v>
      </c>
    </row>
    <row r="190" spans="1:7">
      <c r="A190" t="s">
        <v>1109</v>
      </c>
      <c r="B190">
        <v>446.7207995003123</v>
      </c>
      <c r="C190">
        <v>371.14932574539154</v>
      </c>
      <c r="D190">
        <v>402.28457909113479</v>
      </c>
    </row>
    <row r="191" spans="1:7">
      <c r="A191" s="1" t="s">
        <v>1110</v>
      </c>
      <c r="B191">
        <v>436.44025283435337</v>
      </c>
      <c r="C191">
        <v>406.67754487259947</v>
      </c>
      <c r="D191">
        <v>408.36169178415167</v>
      </c>
    </row>
    <row r="192" spans="1:7">
      <c r="A192" s="1" t="s">
        <v>1111</v>
      </c>
      <c r="B192">
        <v>441.35188866799206</v>
      </c>
      <c r="C192">
        <v>384.90007401924498</v>
      </c>
      <c r="D192">
        <v>404.19161676646706</v>
      </c>
    </row>
    <row r="193" spans="1:4">
      <c r="A193" s="1" t="s">
        <v>1112</v>
      </c>
      <c r="B193">
        <v>414.08281656331269</v>
      </c>
      <c r="C193">
        <v>369.86808038466285</v>
      </c>
      <c r="D193">
        <v>383.05709023941063</v>
      </c>
    </row>
    <row r="194" spans="1:4">
      <c r="A194" s="1" t="s">
        <v>1113</v>
      </c>
      <c r="B194">
        <v>400.53203503400505</v>
      </c>
      <c r="C194">
        <v>372.94878170064646</v>
      </c>
      <c r="D194">
        <v>372.99515106303619</v>
      </c>
    </row>
    <row r="195" spans="1:4">
      <c r="A195" s="1" t="s">
        <v>1114</v>
      </c>
      <c r="B195">
        <v>392.40158757894216</v>
      </c>
      <c r="C195">
        <v>386.97470141834611</v>
      </c>
      <c r="D195">
        <v>425.78745044684109</v>
      </c>
    </row>
    <row r="196" spans="1:4">
      <c r="A196" s="1" t="s">
        <v>1115</v>
      </c>
      <c r="B196">
        <v>406.37469423411886</v>
      </c>
      <c r="C196">
        <v>372.16226274655753</v>
      </c>
      <c r="D196">
        <v>406.52446675031371</v>
      </c>
    </row>
    <row r="197" spans="1:4">
      <c r="A197" s="1" t="s">
        <v>1116</v>
      </c>
      <c r="B197">
        <v>414.66749533871973</v>
      </c>
      <c r="C197">
        <v>378.50113550340654</v>
      </c>
      <c r="D197">
        <v>397.90843004718784</v>
      </c>
    </row>
    <row r="198" spans="1:4">
      <c r="A198" s="1" t="s">
        <v>1117</v>
      </c>
      <c r="B198">
        <v>400.58230008533707</v>
      </c>
      <c r="C198">
        <v>340.46943513025536</v>
      </c>
      <c r="D198">
        <v>349.10194788768024</v>
      </c>
    </row>
    <row r="199" spans="1:4">
      <c r="A199" s="1" t="s">
        <v>1118</v>
      </c>
      <c r="B199">
        <v>395.34767633404886</v>
      </c>
      <c r="C199">
        <v>337.94538998408228</v>
      </c>
      <c r="D199">
        <v>362.03645505971087</v>
      </c>
    </row>
    <row r="200" spans="1:4">
      <c r="A200" s="1" t="s">
        <v>1119</v>
      </c>
      <c r="B200">
        <v>403.39649891680568</v>
      </c>
      <c r="C200">
        <v>356.08308605341244</v>
      </c>
      <c r="D200">
        <v>365.54161082003168</v>
      </c>
    </row>
    <row r="201" spans="1:4">
      <c r="A201" s="1" t="s">
        <v>1120</v>
      </c>
      <c r="B201">
        <v>412.30473239133192</v>
      </c>
      <c r="C201">
        <v>347.25717161550074</v>
      </c>
      <c r="D201">
        <v>363.68228311655508</v>
      </c>
    </row>
    <row r="202" spans="1:4">
      <c r="A202" s="1" t="s">
        <v>1013</v>
      </c>
      <c r="B202">
        <v>375.81740285120134</v>
      </c>
      <c r="C202">
        <v>324.12523020257822</v>
      </c>
      <c r="D202">
        <v>339.1079985256174</v>
      </c>
    </row>
    <row r="203" spans="1:4">
      <c r="A203" s="1" t="s">
        <v>1014</v>
      </c>
      <c r="B203">
        <v>353.22356413070531</v>
      </c>
      <c r="C203">
        <v>350.25380710659897</v>
      </c>
      <c r="D203">
        <v>339.24441017733227</v>
      </c>
    </row>
    <row r="204" spans="1:4">
      <c r="A204" s="1" t="s">
        <v>1015</v>
      </c>
      <c r="B204">
        <v>366.67300647990874</v>
      </c>
      <c r="C204">
        <v>332.66129032258061</v>
      </c>
      <c r="D204">
        <v>332.1590337191746</v>
      </c>
    </row>
    <row r="205" spans="1:4">
      <c r="A205" s="1" t="s">
        <v>1016</v>
      </c>
      <c r="B205">
        <v>356.39676826659286</v>
      </c>
      <c r="C205">
        <v>330.41301627033795</v>
      </c>
      <c r="D205">
        <v>341.41514101929732</v>
      </c>
    </row>
    <row r="207" spans="1:4">
      <c r="A207" s="3" t="s">
        <v>18</v>
      </c>
      <c r="B207">
        <v>16</v>
      </c>
    </row>
    <row r="208" spans="1:4">
      <c r="A208" s="3" t="s">
        <v>191</v>
      </c>
      <c r="B208">
        <v>2</v>
      </c>
    </row>
    <row r="209" spans="1:7">
      <c r="A209" s="3" t="s">
        <v>192</v>
      </c>
      <c r="B209">
        <v>14</v>
      </c>
    </row>
    <row r="210" spans="1:7">
      <c r="A210" s="6" t="s">
        <v>193</v>
      </c>
      <c r="B210">
        <v>12.5</v>
      </c>
    </row>
    <row r="211" spans="1:7">
      <c r="A211" s="1"/>
    </row>
    <row r="212" spans="1:7">
      <c r="A212" s="4" t="s">
        <v>19</v>
      </c>
      <c r="B212">
        <v>-14.438063964858774</v>
      </c>
    </row>
    <row r="213" spans="1:7">
      <c r="A213" s="1" t="s">
        <v>20</v>
      </c>
      <c r="B213">
        <v>181.86690198541092</v>
      </c>
    </row>
    <row r="214" spans="1:7">
      <c r="A214" s="1" t="s">
        <v>23</v>
      </c>
      <c r="B214">
        <v>13.485803720409507</v>
      </c>
    </row>
    <row r="215" spans="1:7">
      <c r="A215" s="1" t="s">
        <v>24</v>
      </c>
      <c r="B215">
        <v>3.3714509301023767</v>
      </c>
    </row>
    <row r="216" spans="1:7">
      <c r="A216" s="1" t="s">
        <v>21</v>
      </c>
      <c r="B216">
        <v>-4.2824481993633379</v>
      </c>
    </row>
    <row r="217" spans="1:7">
      <c r="A217" s="4" t="s">
        <v>22</v>
      </c>
      <c r="B217">
        <f>TDIST(ABS(B216),15,1)</f>
        <v>3.2725896347043113E-4</v>
      </c>
    </row>
    <row r="219" spans="1:7">
      <c r="A219" s="2" t="s">
        <v>1779</v>
      </c>
    </row>
    <row r="220" spans="1:7">
      <c r="A220" s="3" t="s">
        <v>7</v>
      </c>
      <c r="B220" s="3" t="s">
        <v>8</v>
      </c>
      <c r="C220" s="3" t="s">
        <v>9</v>
      </c>
      <c r="D220" s="3" t="s">
        <v>10</v>
      </c>
      <c r="E220" s="3" t="s">
        <v>11</v>
      </c>
      <c r="F220" s="3" t="s">
        <v>12</v>
      </c>
      <c r="G220" s="3" t="s">
        <v>13</v>
      </c>
    </row>
    <row r="221" spans="1:7">
      <c r="A221" t="s">
        <v>1121</v>
      </c>
      <c r="B221">
        <v>411.63522381222481</v>
      </c>
      <c r="C221">
        <v>384.22131147540989</v>
      </c>
      <c r="D221">
        <v>411.96665031878376</v>
      </c>
    </row>
    <row r="222" spans="1:7">
      <c r="A222" s="1" t="s">
        <v>1122</v>
      </c>
      <c r="B222">
        <v>406.74924606833986</v>
      </c>
      <c r="C222">
        <v>371.33308577794281</v>
      </c>
      <c r="D222">
        <v>401.33779264214047</v>
      </c>
    </row>
    <row r="223" spans="1:7">
      <c r="A223" s="1" t="s">
        <v>1123</v>
      </c>
      <c r="B223">
        <v>408.55154458519002</v>
      </c>
      <c r="C223">
        <v>393.24426518779933</v>
      </c>
      <c r="D223">
        <v>427.25598526703499</v>
      </c>
    </row>
    <row r="224" spans="1:7">
      <c r="A224" s="1" t="s">
        <v>1124</v>
      </c>
      <c r="B224">
        <v>426.58655651520843</v>
      </c>
      <c r="C224">
        <v>345.21575984990619</v>
      </c>
      <c r="D224">
        <v>356.7447045707915</v>
      </c>
    </row>
    <row r="225" spans="1:4">
      <c r="A225" s="1" t="s">
        <v>1125</v>
      </c>
      <c r="B225">
        <v>435.45723009159616</v>
      </c>
      <c r="C225">
        <v>344.01096846566122</v>
      </c>
      <c r="D225">
        <v>384.61538461538464</v>
      </c>
    </row>
    <row r="226" spans="1:4">
      <c r="A226" s="1" t="s">
        <v>1126</v>
      </c>
      <c r="B226">
        <v>390.63478151996998</v>
      </c>
      <c r="C226">
        <v>367.87247087676275</v>
      </c>
      <c r="D226">
        <v>388.54296388542963</v>
      </c>
    </row>
    <row r="227" spans="1:4">
      <c r="A227" s="1" t="s">
        <v>1127</v>
      </c>
      <c r="B227">
        <v>418.84290879871435</v>
      </c>
      <c r="C227">
        <v>345.9947348627303</v>
      </c>
      <c r="D227">
        <v>379.51587398126748</v>
      </c>
    </row>
    <row r="228" spans="1:4">
      <c r="A228" s="1" t="s">
        <v>1128</v>
      </c>
      <c r="B228">
        <v>414.02070103505179</v>
      </c>
      <c r="C228">
        <v>379.28519328956963</v>
      </c>
      <c r="D228">
        <v>385.23274478330654</v>
      </c>
    </row>
    <row r="229" spans="1:4">
      <c r="A229" t="s">
        <v>1129</v>
      </c>
      <c r="B229">
        <v>406.45546921697547</v>
      </c>
      <c r="C229">
        <v>337.72547012920558</v>
      </c>
      <c r="D229">
        <v>362.40090600226495</v>
      </c>
    </row>
    <row r="230" spans="1:4">
      <c r="A230" t="s">
        <v>1130</v>
      </c>
      <c r="B230">
        <v>401.25767330438686</v>
      </c>
      <c r="C230">
        <v>345.9947348627303</v>
      </c>
      <c r="D230">
        <v>358.92323030907278</v>
      </c>
    </row>
    <row r="231" spans="1:4">
      <c r="A231" t="s">
        <v>1131</v>
      </c>
      <c r="B231">
        <v>396.88534258802946</v>
      </c>
      <c r="C231">
        <v>354.30038510911425</v>
      </c>
      <c r="D231">
        <v>380.85565570648725</v>
      </c>
    </row>
    <row r="232" spans="1:4">
      <c r="A232" t="s">
        <v>1132</v>
      </c>
      <c r="B232">
        <v>409.2174218299441</v>
      </c>
      <c r="C232">
        <v>359.7751405371643</v>
      </c>
      <c r="D232">
        <v>356.43564356435644</v>
      </c>
    </row>
    <row r="233" spans="1:4">
      <c r="A233" s="1" t="s">
        <v>1017</v>
      </c>
      <c r="B233">
        <v>375.81740285120134</v>
      </c>
      <c r="C233">
        <v>328.38154808444091</v>
      </c>
      <c r="D233">
        <v>346.69011430724788</v>
      </c>
    </row>
    <row r="234" spans="1:4">
      <c r="A234" s="1" t="s">
        <v>1018</v>
      </c>
      <c r="B234">
        <v>362.98185090745466</v>
      </c>
      <c r="C234">
        <v>320.85561497326205</v>
      </c>
      <c r="D234">
        <v>344.31137724550899</v>
      </c>
    </row>
    <row r="235" spans="1:4">
      <c r="A235" s="1" t="s">
        <v>1019</v>
      </c>
      <c r="B235">
        <v>366.27470602952212</v>
      </c>
      <c r="C235">
        <v>320.40686586141135</v>
      </c>
      <c r="D235">
        <v>344.95688038995127</v>
      </c>
    </row>
    <row r="236" spans="1:4">
      <c r="A236" s="1" t="s">
        <v>1020</v>
      </c>
      <c r="B236">
        <v>356.48309950571672</v>
      </c>
      <c r="C236">
        <v>327.62472077438571</v>
      </c>
      <c r="D236">
        <v>351.63715122945598</v>
      </c>
    </row>
    <row r="237" spans="1:4">
      <c r="A237" s="1"/>
    </row>
    <row r="238" spans="1:4">
      <c r="A238" s="4" t="s">
        <v>18</v>
      </c>
      <c r="B238">
        <v>16</v>
      </c>
    </row>
    <row r="239" spans="1:4">
      <c r="A239" s="4" t="s">
        <v>191</v>
      </c>
      <c r="B239">
        <v>1</v>
      </c>
    </row>
    <row r="240" spans="1:4">
      <c r="A240" s="4" t="s">
        <v>192</v>
      </c>
      <c r="B240">
        <v>15</v>
      </c>
    </row>
    <row r="241" spans="1:7">
      <c r="A241" s="6" t="s">
        <v>193</v>
      </c>
      <c r="B241">
        <v>6.25</v>
      </c>
    </row>
    <row r="243" spans="1:7">
      <c r="A243" s="3" t="s">
        <v>19</v>
      </c>
      <c r="B243">
        <v>-22.198799293811749</v>
      </c>
    </row>
    <row r="244" spans="1:7">
      <c r="A244" t="s">
        <v>20</v>
      </c>
      <c r="B244">
        <v>124.48500634077739</v>
      </c>
    </row>
    <row r="245" spans="1:7">
      <c r="A245" s="1" t="s">
        <v>23</v>
      </c>
      <c r="B245">
        <v>11.157284900045234</v>
      </c>
    </row>
    <row r="246" spans="1:7">
      <c r="A246" s="1" t="s">
        <v>24</v>
      </c>
      <c r="B246">
        <v>2.7893212250113084</v>
      </c>
    </row>
    <row r="247" spans="1:7">
      <c r="A247" s="1" t="s">
        <v>21</v>
      </c>
      <c r="B247">
        <v>-7.9584950972155424</v>
      </c>
    </row>
    <row r="248" spans="1:7">
      <c r="A248" s="4" t="s">
        <v>22</v>
      </c>
      <c r="B248">
        <f>TDIST(ABS(B247),15,1)</f>
        <v>4.5900360900863289E-7</v>
      </c>
    </row>
    <row r="249" spans="1:7">
      <c r="A249" s="1"/>
    </row>
    <row r="250" spans="1:7">
      <c r="A250" s="5" t="s">
        <v>1780</v>
      </c>
    </row>
    <row r="251" spans="1:7">
      <c r="A251" s="4" t="s">
        <v>7</v>
      </c>
      <c r="B251" s="3" t="s">
        <v>8</v>
      </c>
      <c r="C251" s="3" t="s">
        <v>9</v>
      </c>
      <c r="D251" s="3" t="s">
        <v>10</v>
      </c>
      <c r="E251" s="3" t="s">
        <v>11</v>
      </c>
      <c r="F251" s="3" t="s">
        <v>12</v>
      </c>
      <c r="G251" s="3" t="s">
        <v>13</v>
      </c>
    </row>
    <row r="252" spans="1:7">
      <c r="A252" s="1" t="s">
        <v>1133</v>
      </c>
      <c r="B252">
        <v>411.13361842598846</v>
      </c>
      <c r="C252">
        <v>378.69224943196161</v>
      </c>
      <c r="D252">
        <v>397.54601226993867</v>
      </c>
    </row>
    <row r="253" spans="1:7">
      <c r="A253" s="1" t="s">
        <v>1134</v>
      </c>
      <c r="B253">
        <v>423.24336493483753</v>
      </c>
      <c r="C253">
        <v>368.54516352680361</v>
      </c>
      <c r="D253">
        <v>396.33027522935777</v>
      </c>
    </row>
    <row r="254" spans="1:7">
      <c r="A254" s="1" t="s">
        <v>1135</v>
      </c>
      <c r="B254">
        <v>429.38568973491181</v>
      </c>
      <c r="C254">
        <v>415.17360682070927</v>
      </c>
      <c r="D254">
        <v>423.38709677419354</v>
      </c>
    </row>
    <row r="255" spans="1:7">
      <c r="A255" t="s">
        <v>1136</v>
      </c>
      <c r="B255">
        <v>426.94001443037342</v>
      </c>
      <c r="C255">
        <v>419.89502624343913</v>
      </c>
      <c r="D255">
        <v>410.33434650455928</v>
      </c>
    </row>
    <row r="256" spans="1:7">
      <c r="A256" t="s">
        <v>1137</v>
      </c>
      <c r="B256">
        <v>372.78194741289332</v>
      </c>
      <c r="C256">
        <v>352.04081632653066</v>
      </c>
      <c r="D256">
        <v>380.85565570648725</v>
      </c>
    </row>
    <row r="257" spans="1:4">
      <c r="A257" t="s">
        <v>1138</v>
      </c>
      <c r="B257">
        <v>374.82195956920458</v>
      </c>
      <c r="C257">
        <v>347.51951649458579</v>
      </c>
      <c r="D257">
        <v>391.46800501882058</v>
      </c>
    </row>
    <row r="258" spans="1:4">
      <c r="A258" t="s">
        <v>1139</v>
      </c>
      <c r="B258">
        <v>421.02115249760294</v>
      </c>
      <c r="C258">
        <v>390.68369646882047</v>
      </c>
      <c r="D258">
        <v>380.75897956593479</v>
      </c>
    </row>
    <row r="259" spans="1:4">
      <c r="A259" s="1" t="s">
        <v>1140</v>
      </c>
      <c r="B259">
        <v>399.46937651740791</v>
      </c>
      <c r="C259">
        <v>388.25286212045796</v>
      </c>
      <c r="D259">
        <v>380.30229156509017</v>
      </c>
    </row>
    <row r="260" spans="1:4">
      <c r="A260" s="1" t="s">
        <v>1141</v>
      </c>
      <c r="B260">
        <v>372.41897134276059</v>
      </c>
      <c r="C260">
        <v>331.40848606577953</v>
      </c>
      <c r="D260">
        <v>353.07098197866867</v>
      </c>
    </row>
    <row r="261" spans="1:4">
      <c r="A261" s="1" t="s">
        <v>1142</v>
      </c>
      <c r="B261">
        <v>383.83686933053451</v>
      </c>
      <c r="C261">
        <v>336.33926395320498</v>
      </c>
      <c r="D261">
        <v>377.86120867143029</v>
      </c>
    </row>
    <row r="262" spans="1:4">
      <c r="A262" s="1" t="s">
        <v>1143</v>
      </c>
      <c r="B262">
        <v>388.6810455218822</v>
      </c>
      <c r="C262">
        <v>353.93879808283151</v>
      </c>
      <c r="D262">
        <v>357.8374173473357</v>
      </c>
    </row>
    <row r="263" spans="1:4">
      <c r="A263" s="1" t="s">
        <v>1144</v>
      </c>
      <c r="B263">
        <v>403.92958659552187</v>
      </c>
      <c r="C263">
        <v>336.30573248407643</v>
      </c>
      <c r="D263">
        <v>359.95500562429697</v>
      </c>
    </row>
    <row r="264" spans="1:4">
      <c r="A264" s="1" t="s">
        <v>1021</v>
      </c>
      <c r="B264">
        <v>365.80795082581642</v>
      </c>
      <c r="C264">
        <v>326.53061224489795</v>
      </c>
      <c r="D264">
        <v>345.82132564841498</v>
      </c>
    </row>
    <row r="265" spans="1:4">
      <c r="A265" s="1" t="s">
        <v>1022</v>
      </c>
      <c r="B265">
        <v>362.58302951605651</v>
      </c>
      <c r="C265">
        <v>311.44562678432391</v>
      </c>
      <c r="D265">
        <v>325.00307768065989</v>
      </c>
    </row>
    <row r="266" spans="1:4">
      <c r="A266" s="1" t="s">
        <v>1023</v>
      </c>
      <c r="B266">
        <v>357.30370815192913</v>
      </c>
      <c r="C266">
        <v>327.58406750217148</v>
      </c>
      <c r="D266">
        <v>353.06560367855241</v>
      </c>
    </row>
    <row r="267" spans="1:4">
      <c r="A267" s="1" t="s">
        <v>1024</v>
      </c>
      <c r="B267">
        <v>375.46933667083852</v>
      </c>
      <c r="C267">
        <v>330.99297893681046</v>
      </c>
      <c r="D267">
        <v>348.0015130500567</v>
      </c>
    </row>
    <row r="268" spans="1:4">
      <c r="A268" s="1"/>
    </row>
    <row r="269" spans="1:4">
      <c r="A269" s="4" t="s">
        <v>18</v>
      </c>
      <c r="B269">
        <v>16</v>
      </c>
    </row>
    <row r="270" spans="1:4">
      <c r="A270" s="4" t="s">
        <v>191</v>
      </c>
      <c r="B270">
        <v>3</v>
      </c>
    </row>
    <row r="271" spans="1:4">
      <c r="A271" s="4" t="s">
        <v>192</v>
      </c>
      <c r="B271">
        <v>13</v>
      </c>
    </row>
    <row r="272" spans="1:4">
      <c r="A272" s="6" t="s">
        <v>193</v>
      </c>
      <c r="B272">
        <v>18.75</v>
      </c>
    </row>
    <row r="273" spans="1:7">
      <c r="A273" s="1"/>
    </row>
    <row r="274" spans="1:7">
      <c r="A274" s="3" t="s">
        <v>19</v>
      </c>
      <c r="B274">
        <v>-16.640643301649558</v>
      </c>
    </row>
    <row r="275" spans="1:7">
      <c r="A275" t="s">
        <v>20</v>
      </c>
      <c r="B275">
        <v>269.44018995293635</v>
      </c>
    </row>
    <row r="276" spans="1:7">
      <c r="A276" t="s">
        <v>23</v>
      </c>
      <c r="B276">
        <v>16.414633409032817</v>
      </c>
    </row>
    <row r="277" spans="1:7">
      <c r="A277" t="s">
        <v>24</v>
      </c>
      <c r="B277">
        <v>4.1036583522582042</v>
      </c>
    </row>
    <row r="278" spans="1:7">
      <c r="A278" s="1" t="s">
        <v>21</v>
      </c>
      <c r="B278">
        <v>-4.0550752214770434</v>
      </c>
    </row>
    <row r="279" spans="1:7">
      <c r="A279" s="4" t="s">
        <v>22</v>
      </c>
      <c r="B279">
        <f>TDIST(ABS(B278),15,1)</f>
        <v>5.1827977532999277E-4</v>
      </c>
    </row>
    <row r="280" spans="1:7">
      <c r="A280" s="1"/>
    </row>
    <row r="281" spans="1:7">
      <c r="A281" s="5" t="s">
        <v>1781</v>
      </c>
    </row>
    <row r="282" spans="1:7">
      <c r="A282" s="4" t="s">
        <v>7</v>
      </c>
      <c r="B282" s="3" t="s">
        <v>8</v>
      </c>
      <c r="C282" s="3" t="s">
        <v>9</v>
      </c>
      <c r="D282" s="3" t="s">
        <v>10</v>
      </c>
      <c r="E282" s="3" t="s">
        <v>11</v>
      </c>
      <c r="F282" s="3" t="s">
        <v>12</v>
      </c>
      <c r="G282" s="3" t="s">
        <v>13</v>
      </c>
    </row>
    <row r="283" spans="1:7">
      <c r="A283" s="1" t="s">
        <v>1145</v>
      </c>
      <c r="B283">
        <v>428.91421715656872</v>
      </c>
      <c r="C283">
        <v>383.15117278644232</v>
      </c>
      <c r="D283">
        <v>380.71995118974985</v>
      </c>
    </row>
    <row r="284" spans="1:7">
      <c r="A284" s="1" t="s">
        <v>1146</v>
      </c>
      <c r="B284">
        <v>425.96152145149495</v>
      </c>
      <c r="C284">
        <v>360.90225563909775</v>
      </c>
      <c r="D284">
        <v>375</v>
      </c>
    </row>
    <row r="285" spans="1:7">
      <c r="A285" s="1" t="s">
        <v>1147</v>
      </c>
      <c r="B285">
        <v>402.68456375838929</v>
      </c>
      <c r="C285">
        <v>366.41221374045801</v>
      </c>
      <c r="D285">
        <v>390.09752438109524</v>
      </c>
    </row>
    <row r="286" spans="1:7">
      <c r="A286" s="1" t="s">
        <v>1148</v>
      </c>
      <c r="B286">
        <v>408.13286661205035</v>
      </c>
      <c r="C286">
        <v>411.95168467895741</v>
      </c>
      <c r="D286">
        <v>421.51162790697674</v>
      </c>
    </row>
    <row r="287" spans="1:7">
      <c r="A287" s="1" t="s">
        <v>1149</v>
      </c>
      <c r="B287" t="e">
        <f>NA()</f>
        <v>#N/A</v>
      </c>
      <c r="C287">
        <v>384.09454634987077</v>
      </c>
      <c r="D287">
        <v>375.858330321648</v>
      </c>
      <c r="E287" t="s">
        <v>40</v>
      </c>
    </row>
    <row r="288" spans="1:7">
      <c r="A288" s="1" t="s">
        <v>1150</v>
      </c>
      <c r="B288">
        <v>425.6386023329606</v>
      </c>
      <c r="C288">
        <v>360.81182660987218</v>
      </c>
      <c r="D288">
        <v>378.77868155881993</v>
      </c>
    </row>
    <row r="289" spans="1:6">
      <c r="A289" s="1" t="s">
        <v>1151</v>
      </c>
      <c r="B289">
        <v>385.56377493835464</v>
      </c>
      <c r="C289">
        <v>372.25462216155853</v>
      </c>
      <c r="D289">
        <v>368.68624800294953</v>
      </c>
    </row>
    <row r="290" spans="1:6">
      <c r="A290" s="1" t="s">
        <v>1152</v>
      </c>
      <c r="B290">
        <v>394.95337356006581</v>
      </c>
      <c r="C290">
        <v>367.06227823320688</v>
      </c>
      <c r="D290">
        <v>408.16326530612247</v>
      </c>
    </row>
    <row r="291" spans="1:6">
      <c r="A291" s="1" t="s">
        <v>1153</v>
      </c>
      <c r="B291" t="e">
        <f>NA()</f>
        <v>#N/A</v>
      </c>
      <c r="C291" t="e">
        <f>NA()</f>
        <v>#N/A</v>
      </c>
      <c r="D291">
        <v>371.44205454274498</v>
      </c>
      <c r="E291" t="s">
        <v>99</v>
      </c>
      <c r="F291" t="s">
        <v>17</v>
      </c>
    </row>
    <row r="292" spans="1:6">
      <c r="A292" s="1" t="s">
        <v>1154</v>
      </c>
      <c r="B292">
        <v>379.73737323399695</v>
      </c>
      <c r="C292">
        <v>356.42437509686704</v>
      </c>
      <c r="D292">
        <v>366.17927527018435</v>
      </c>
    </row>
    <row r="293" spans="1:6">
      <c r="A293" s="1" t="s">
        <v>1155</v>
      </c>
      <c r="B293">
        <v>373.51272654249709</v>
      </c>
      <c r="C293">
        <v>353.66478728856998</v>
      </c>
      <c r="D293">
        <v>356.39153570102712</v>
      </c>
    </row>
    <row r="294" spans="1:6">
      <c r="A294" t="s">
        <v>1156</v>
      </c>
      <c r="B294">
        <v>389.47420981674742</v>
      </c>
      <c r="C294">
        <v>332.93124246079617</v>
      </c>
      <c r="D294">
        <v>352.7682508574228</v>
      </c>
    </row>
    <row r="295" spans="1:6">
      <c r="A295" t="s">
        <v>1025</v>
      </c>
      <c r="B295">
        <v>344.6295232624928</v>
      </c>
      <c r="C295">
        <v>317.9409538228615</v>
      </c>
      <c r="D295">
        <v>326.8135677147809</v>
      </c>
    </row>
    <row r="296" spans="1:6">
      <c r="A296" t="s">
        <v>1026</v>
      </c>
      <c r="B296">
        <v>381.85208203853324</v>
      </c>
      <c r="C296">
        <v>413.03011677934848</v>
      </c>
      <c r="D296">
        <v>358.62785862785864</v>
      </c>
    </row>
    <row r="297" spans="1:6">
      <c r="A297" t="s">
        <v>1027</v>
      </c>
      <c r="B297">
        <v>395.95566483199332</v>
      </c>
      <c r="C297">
        <v>357.0985740855549</v>
      </c>
      <c r="D297">
        <v>343.79671150971598</v>
      </c>
    </row>
    <row r="298" spans="1:6">
      <c r="A298" s="1" t="s">
        <v>1028</v>
      </c>
      <c r="B298">
        <v>366.73346693386776</v>
      </c>
      <c r="C298">
        <v>335.23809523809524</v>
      </c>
      <c r="D298">
        <v>335.49370949294706</v>
      </c>
    </row>
    <row r="299" spans="1:6">
      <c r="A299" s="1"/>
    </row>
    <row r="300" spans="1:6">
      <c r="A300" s="4" t="s">
        <v>18</v>
      </c>
      <c r="B300">
        <v>15</v>
      </c>
    </row>
    <row r="301" spans="1:6">
      <c r="A301" s="4" t="s">
        <v>191</v>
      </c>
      <c r="B301">
        <v>5</v>
      </c>
    </row>
    <row r="302" spans="1:6">
      <c r="A302" s="4" t="s">
        <v>192</v>
      </c>
      <c r="B302">
        <v>10</v>
      </c>
    </row>
    <row r="303" spans="1:6">
      <c r="A303" s="6" t="s">
        <v>193</v>
      </c>
      <c r="B303">
        <v>33.333333333333336</v>
      </c>
    </row>
    <row r="305" spans="1:7">
      <c r="A305" s="3" t="s">
        <v>19</v>
      </c>
      <c r="B305">
        <v>-4.3945195246494295</v>
      </c>
    </row>
    <row r="306" spans="1:7">
      <c r="A306" t="s">
        <v>20</v>
      </c>
      <c r="B306">
        <v>455.10487267387776</v>
      </c>
    </row>
    <row r="307" spans="1:7">
      <c r="A307" t="s">
        <v>23</v>
      </c>
      <c r="B307">
        <v>21.33318711945962</v>
      </c>
    </row>
    <row r="308" spans="1:7">
      <c r="A308" s="1" t="s">
        <v>24</v>
      </c>
      <c r="B308">
        <v>5.508205229012912</v>
      </c>
    </row>
    <row r="309" spans="1:7">
      <c r="A309" s="1" t="s">
        <v>21</v>
      </c>
      <c r="B309">
        <v>-0.79781332429346341</v>
      </c>
    </row>
    <row r="310" spans="1:7">
      <c r="A310" s="4" t="s">
        <v>22</v>
      </c>
      <c r="B310">
        <f>TDIST(ABS(B309),14,1)</f>
        <v>0.21915119334191174</v>
      </c>
    </row>
    <row r="311" spans="1:7">
      <c r="A311" s="1"/>
    </row>
    <row r="312" spans="1:7">
      <c r="A312" s="2" t="s">
        <v>1782</v>
      </c>
    </row>
    <row r="313" spans="1:7">
      <c r="A313" s="3" t="s">
        <v>7</v>
      </c>
      <c r="B313" s="3" t="s">
        <v>8</v>
      </c>
      <c r="C313" s="3" t="s">
        <v>9</v>
      </c>
      <c r="D313" s="3" t="s">
        <v>10</v>
      </c>
      <c r="E313" s="3" t="s">
        <v>11</v>
      </c>
      <c r="F313" s="3" t="s">
        <v>12</v>
      </c>
      <c r="G313" s="3" t="s">
        <v>13</v>
      </c>
    </row>
    <row r="314" spans="1:7">
      <c r="A314" t="s">
        <v>1157</v>
      </c>
      <c r="B314">
        <v>430.60054821829061</v>
      </c>
      <c r="C314">
        <v>347.40651387213512</v>
      </c>
      <c r="D314">
        <v>411.42857142857139</v>
      </c>
    </row>
    <row r="315" spans="1:7">
      <c r="A315" t="s">
        <v>1158</v>
      </c>
      <c r="B315">
        <v>415.2249134948097</v>
      </c>
      <c r="C315">
        <v>383.33947659417623</v>
      </c>
      <c r="D315">
        <v>383.76383763837634</v>
      </c>
    </row>
    <row r="316" spans="1:7">
      <c r="A316" s="1" t="s">
        <v>1159</v>
      </c>
      <c r="B316">
        <v>421.28257272236658</v>
      </c>
      <c r="C316">
        <v>383.23965252938166</v>
      </c>
      <c r="D316">
        <v>371.24118302190328</v>
      </c>
    </row>
    <row r="317" spans="1:7">
      <c r="A317" s="1" t="s">
        <v>1160</v>
      </c>
      <c r="B317" t="e">
        <f>NA()</f>
        <v>#N/A</v>
      </c>
      <c r="C317">
        <v>373.83177570093454</v>
      </c>
      <c r="D317">
        <v>388.97893030794171</v>
      </c>
      <c r="E317" t="s">
        <v>40</v>
      </c>
    </row>
    <row r="318" spans="1:7">
      <c r="A318" s="1" t="s">
        <v>1161</v>
      </c>
      <c r="B318">
        <v>413.64839886096814</v>
      </c>
      <c r="C318">
        <v>387.77032065622672</v>
      </c>
      <c r="D318">
        <v>394.13234979228571</v>
      </c>
    </row>
    <row r="319" spans="1:7">
      <c r="A319" s="1" t="s">
        <v>1162</v>
      </c>
      <c r="B319">
        <v>409.82176243300512</v>
      </c>
      <c r="C319">
        <v>353.59116022099442</v>
      </c>
      <c r="D319">
        <v>370.05057357838905</v>
      </c>
    </row>
    <row r="320" spans="1:7">
      <c r="A320" s="1" t="s">
        <v>1163</v>
      </c>
      <c r="B320">
        <v>387.49405492002307</v>
      </c>
      <c r="C320">
        <v>360.81182660987218</v>
      </c>
      <c r="D320">
        <v>408.89808454100239</v>
      </c>
    </row>
    <row r="321" spans="1:4">
      <c r="A321" s="1" t="s">
        <v>1164</v>
      </c>
      <c r="B321">
        <v>401.80552907916268</v>
      </c>
      <c r="C321">
        <v>363.50418029807344</v>
      </c>
      <c r="D321">
        <v>377.59597230962873</v>
      </c>
    </row>
    <row r="322" spans="1:4">
      <c r="A322" s="1" t="s">
        <v>1165</v>
      </c>
      <c r="B322">
        <v>387.59107639149704</v>
      </c>
      <c r="C322">
        <v>334.05954974582426</v>
      </c>
      <c r="D322">
        <v>358.8337901819088</v>
      </c>
    </row>
    <row r="323" spans="1:4">
      <c r="A323" s="1" t="s">
        <v>1166</v>
      </c>
      <c r="B323">
        <v>383.48229889648974</v>
      </c>
      <c r="C323">
        <v>348.37304947381153</v>
      </c>
      <c r="D323">
        <v>372.67080745341616</v>
      </c>
    </row>
    <row r="324" spans="1:4">
      <c r="A324" s="1" t="s">
        <v>1167</v>
      </c>
      <c r="B324">
        <v>373.39088103184361</v>
      </c>
      <c r="C324">
        <v>326.8135677147809</v>
      </c>
      <c r="D324">
        <v>361.22817579771225</v>
      </c>
    </row>
    <row r="325" spans="1:4">
      <c r="A325" s="1" t="s">
        <v>1168</v>
      </c>
      <c r="B325">
        <v>389.2440583355413</v>
      </c>
      <c r="C325">
        <v>361.21911451147628</v>
      </c>
      <c r="D325">
        <v>358.03083043262058</v>
      </c>
    </row>
    <row r="326" spans="1:4">
      <c r="A326" s="1" t="s">
        <v>1029</v>
      </c>
      <c r="B326">
        <v>365.17296812627541</v>
      </c>
      <c r="C326">
        <v>330.12379642365886</v>
      </c>
      <c r="D326">
        <v>318.76358367544071</v>
      </c>
    </row>
    <row r="327" spans="1:4">
      <c r="A327" s="1" t="s">
        <v>1030</v>
      </c>
      <c r="B327">
        <v>344.64673709447817</v>
      </c>
      <c r="C327">
        <v>332.409972299169</v>
      </c>
      <c r="D327">
        <v>327.86885245901635</v>
      </c>
    </row>
    <row r="328" spans="1:4">
      <c r="A328" s="1" t="s">
        <v>1031</v>
      </c>
      <c r="B328">
        <v>348.76788553259138</v>
      </c>
      <c r="C328">
        <v>319.80617807389461</v>
      </c>
      <c r="D328">
        <v>333.45415005436757</v>
      </c>
    </row>
    <row r="329" spans="1:4">
      <c r="A329" s="1" t="s">
        <v>1032</v>
      </c>
      <c r="B329">
        <v>354.2391114001951</v>
      </c>
      <c r="C329">
        <v>317.02100893194108</v>
      </c>
      <c r="D329">
        <v>327.14526807737246</v>
      </c>
    </row>
    <row r="330" spans="1:4">
      <c r="A330" s="1"/>
    </row>
    <row r="331" spans="1:4">
      <c r="A331" s="4" t="s">
        <v>18</v>
      </c>
      <c r="B331">
        <v>16</v>
      </c>
    </row>
    <row r="332" spans="1:4">
      <c r="A332" s="4" t="s">
        <v>191</v>
      </c>
      <c r="B332">
        <v>4</v>
      </c>
    </row>
    <row r="333" spans="1:4">
      <c r="A333" s="3" t="s">
        <v>192</v>
      </c>
      <c r="B333">
        <v>12</v>
      </c>
    </row>
    <row r="334" spans="1:4">
      <c r="A334" s="6" t="s">
        <v>193</v>
      </c>
      <c r="B334">
        <v>25</v>
      </c>
    </row>
    <row r="336" spans="1:4">
      <c r="A336" s="3" t="s">
        <v>19</v>
      </c>
      <c r="B336">
        <v>-15.047738568350166</v>
      </c>
    </row>
    <row r="337" spans="1:7">
      <c r="A337" s="1" t="s">
        <v>20</v>
      </c>
      <c r="B337">
        <v>433.92169546918245</v>
      </c>
    </row>
    <row r="338" spans="1:7">
      <c r="A338" s="1" t="s">
        <v>23</v>
      </c>
      <c r="B338">
        <v>20.830787202340254</v>
      </c>
    </row>
    <row r="339" spans="1:7">
      <c r="A339" s="1" t="s">
        <v>24</v>
      </c>
      <c r="B339">
        <v>5.2076968005850635</v>
      </c>
    </row>
    <row r="340" spans="1:7">
      <c r="A340" s="1" t="s">
        <v>21</v>
      </c>
      <c r="B340">
        <v>-2.8895189456228736</v>
      </c>
    </row>
    <row r="341" spans="1:7">
      <c r="A341" s="4" t="s">
        <v>22</v>
      </c>
      <c r="B341">
        <f>TDIST(ABS(B340),15,1)</f>
        <v>5.6154041166090332E-3</v>
      </c>
    </row>
    <row r="342" spans="1:7">
      <c r="A342" s="1"/>
    </row>
    <row r="343" spans="1:7">
      <c r="A343" s="5" t="s">
        <v>1783</v>
      </c>
    </row>
    <row r="344" spans="1:7">
      <c r="A344" s="4" t="s">
        <v>7</v>
      </c>
      <c r="B344" s="3" t="s">
        <v>8</v>
      </c>
      <c r="C344" s="3" t="s">
        <v>9</v>
      </c>
      <c r="D344" s="3" t="s">
        <v>10</v>
      </c>
      <c r="E344" s="3" t="s">
        <v>11</v>
      </c>
      <c r="F344" s="3" t="s">
        <v>12</v>
      </c>
      <c r="G344" s="3" t="s">
        <v>13</v>
      </c>
    </row>
    <row r="345" spans="1:7">
      <c r="A345" s="1" t="s">
        <v>1169</v>
      </c>
      <c r="B345">
        <v>433.33527372615322</v>
      </c>
      <c r="C345">
        <v>364.18816388467377</v>
      </c>
      <c r="D345">
        <v>360</v>
      </c>
    </row>
    <row r="346" spans="1:7">
      <c r="A346" s="1" t="s">
        <v>1170</v>
      </c>
      <c r="B346">
        <v>419.23489631422649</v>
      </c>
      <c r="C346">
        <v>349.93924665856622</v>
      </c>
      <c r="D346">
        <v>364.52004860267317</v>
      </c>
    </row>
    <row r="347" spans="1:7">
      <c r="A347" s="1" t="s">
        <v>1171</v>
      </c>
      <c r="B347">
        <v>400.36122817579769</v>
      </c>
      <c r="C347">
        <v>400.29651593773167</v>
      </c>
      <c r="D347">
        <v>365.23009495982473</v>
      </c>
    </row>
    <row r="348" spans="1:7">
      <c r="A348" s="1" t="s">
        <v>1172</v>
      </c>
      <c r="B348">
        <v>418.75420623644658</v>
      </c>
      <c r="C348">
        <v>360.09002250562639</v>
      </c>
      <c r="D348">
        <v>377.4954627949183</v>
      </c>
    </row>
    <row r="349" spans="1:7">
      <c r="A349" s="1" t="s">
        <v>1173</v>
      </c>
      <c r="B349">
        <v>375.28146109582184</v>
      </c>
      <c r="C349">
        <v>372.34702742956432</v>
      </c>
      <c r="D349">
        <v>365.71985858832136</v>
      </c>
    </row>
    <row r="350" spans="1:7">
      <c r="A350" s="1" t="s">
        <v>1174</v>
      </c>
      <c r="B350">
        <v>403.3815819180694</v>
      </c>
      <c r="C350">
        <v>354.7671840354767</v>
      </c>
      <c r="D350">
        <v>393.98914004293471</v>
      </c>
    </row>
    <row r="351" spans="1:7">
      <c r="A351" t="s">
        <v>1175</v>
      </c>
      <c r="B351">
        <v>383.39615106207725</v>
      </c>
      <c r="C351">
        <v>371.10341415141016</v>
      </c>
      <c r="D351">
        <v>381.00076200152398</v>
      </c>
    </row>
    <row r="352" spans="1:7">
      <c r="A352" t="s">
        <v>1176</v>
      </c>
      <c r="B352">
        <v>369.71169501289984</v>
      </c>
      <c r="C352">
        <v>365.18563603164944</v>
      </c>
      <c r="D352">
        <v>375.7985719654265</v>
      </c>
    </row>
    <row r="353" spans="1:7">
      <c r="A353" t="s">
        <v>1177</v>
      </c>
      <c r="B353">
        <v>391.36979427997994</v>
      </c>
      <c r="C353">
        <v>332.81080429277705</v>
      </c>
      <c r="D353">
        <v>359.7751405371643</v>
      </c>
    </row>
    <row r="354" spans="1:7">
      <c r="A354" t="s">
        <v>1178</v>
      </c>
      <c r="B354">
        <v>386.44768276065969</v>
      </c>
      <c r="C354">
        <v>334.1808935706502</v>
      </c>
      <c r="D354">
        <v>335.06790201802261</v>
      </c>
    </row>
    <row r="355" spans="1:7">
      <c r="A355" s="1" t="s">
        <v>1179</v>
      </c>
      <c r="B355">
        <v>360.0720144028806</v>
      </c>
      <c r="C355">
        <v>368.73156342182892</v>
      </c>
      <c r="D355">
        <v>371.42503404729479</v>
      </c>
    </row>
    <row r="356" spans="1:7">
      <c r="A356" s="1" t="s">
        <v>1180</v>
      </c>
      <c r="B356">
        <v>386.12157342046845</v>
      </c>
      <c r="C356">
        <v>342.77198211624437</v>
      </c>
      <c r="D356">
        <v>378.0901599612215</v>
      </c>
    </row>
    <row r="357" spans="1:7">
      <c r="A357" t="s">
        <v>1033</v>
      </c>
      <c r="B357">
        <v>336.99413269143975</v>
      </c>
      <c r="C357">
        <v>324.72324723247232</v>
      </c>
      <c r="D357">
        <v>322.70457164809835</v>
      </c>
    </row>
    <row r="358" spans="1:7">
      <c r="A358" t="s">
        <v>1034</v>
      </c>
      <c r="B358">
        <v>349.23103941393413</v>
      </c>
      <c r="C358">
        <v>312.69388261570913</v>
      </c>
      <c r="D358">
        <v>328.60343539955193</v>
      </c>
    </row>
    <row r="359" spans="1:7">
      <c r="A359" t="s">
        <v>1035</v>
      </c>
      <c r="B359">
        <v>342.05986047558326</v>
      </c>
      <c r="C359">
        <v>316.98113207547169</v>
      </c>
      <c r="D359">
        <v>310.42128603104214</v>
      </c>
    </row>
    <row r="360" spans="1:7">
      <c r="A360" t="s">
        <v>1036</v>
      </c>
      <c r="B360">
        <v>358.03083043262058</v>
      </c>
      <c r="C360" t="e">
        <f>NA()</f>
        <v>#N/A</v>
      </c>
      <c r="D360" t="e">
        <f>NA()</f>
        <v>#N/A</v>
      </c>
      <c r="F360" t="s">
        <v>46</v>
      </c>
      <c r="G360" t="s">
        <v>40</v>
      </c>
    </row>
    <row r="361" spans="1:7">
      <c r="A361" s="1"/>
    </row>
    <row r="362" spans="1:7">
      <c r="A362" s="4" t="s">
        <v>18</v>
      </c>
      <c r="B362">
        <v>15</v>
      </c>
    </row>
    <row r="363" spans="1:7">
      <c r="A363" s="3" t="s">
        <v>191</v>
      </c>
      <c r="B363">
        <v>5</v>
      </c>
    </row>
    <row r="364" spans="1:7">
      <c r="A364" s="3" t="s">
        <v>192</v>
      </c>
      <c r="B364">
        <v>10</v>
      </c>
    </row>
    <row r="365" spans="1:7">
      <c r="A365" s="6" t="s">
        <v>193</v>
      </c>
      <c r="B365">
        <v>33.333333333333336</v>
      </c>
    </row>
    <row r="367" spans="1:7">
      <c r="A367" s="4" t="s">
        <v>19</v>
      </c>
      <c r="B367">
        <v>-7.9353835092110687</v>
      </c>
    </row>
    <row r="368" spans="1:7">
      <c r="A368" t="s">
        <v>20</v>
      </c>
      <c r="B368">
        <v>349.55523930423618</v>
      </c>
    </row>
    <row r="369" spans="1:2">
      <c r="A369" t="s">
        <v>23</v>
      </c>
      <c r="B369">
        <v>18.69639642562802</v>
      </c>
    </row>
    <row r="370" spans="1:2">
      <c r="A370" t="s">
        <v>24</v>
      </c>
      <c r="B370">
        <v>4.8273887993699462</v>
      </c>
    </row>
    <row r="371" spans="1:2">
      <c r="A371" t="s">
        <v>21</v>
      </c>
      <c r="B371">
        <v>-1.6438252311988557</v>
      </c>
    </row>
    <row r="372" spans="1:2">
      <c r="A372" s="4" t="s">
        <v>22</v>
      </c>
      <c r="B372">
        <f>TDIST(ABS(B371),14,1)</f>
        <v>6.123624692044153E-2</v>
      </c>
    </row>
    <row r="377" spans="1:2">
      <c r="A377" s="1"/>
    </row>
    <row r="382" spans="1:2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C1:D1048576 B1:B23 B25:B30 B32:B54 B56:B61 B63:B85 B87:B92 B94:B116 B118:B123 B125:B147 B149:B154 B156:B178 B180:B185 B187:B209 B211:B216 B218:B240 B242:B247 B249:B271 B273:B278 B280:B302 B304:B309 B311:B333 B335:B340 B342:B364 B366:B371 B373:B1048576">
    <cfRule type="containsErrors" dxfId="594" priority="1">
      <formula>ISERROR(B1)</formula>
    </cfRule>
  </conditionalFormatting>
  <conditionalFormatting sqref="B24">
    <cfRule type="cellIs" dxfId="593" priority="2" stopIfTrue="1" operator="notBetween">
      <formula>15</formula>
      <formula>85</formula>
    </cfRule>
    <cfRule type="cellIs" dxfId="592" priority="3" stopIfTrue="1" operator="notBetween">
      <formula>25</formula>
      <formula>75</formula>
    </cfRule>
  </conditionalFormatting>
  <conditionalFormatting sqref="B31">
    <cfRule type="cellIs" dxfId="591" priority="4" stopIfTrue="1" operator="lessThanOrEqual">
      <formula>0.05</formula>
    </cfRule>
    <cfRule type="cellIs" dxfId="590" priority="5" stopIfTrue="1" operator="lessThanOrEqual">
      <formula>0.1</formula>
    </cfRule>
  </conditionalFormatting>
  <conditionalFormatting sqref="B55">
    <cfRule type="cellIs" dxfId="589" priority="6" stopIfTrue="1" operator="notBetween">
      <formula>15</formula>
      <formula>85</formula>
    </cfRule>
    <cfRule type="cellIs" dxfId="588" priority="7" stopIfTrue="1" operator="notBetween">
      <formula>25</formula>
      <formula>75</formula>
    </cfRule>
  </conditionalFormatting>
  <conditionalFormatting sqref="B62">
    <cfRule type="cellIs" dxfId="587" priority="8" stopIfTrue="1" operator="lessThanOrEqual">
      <formula>0.05</formula>
    </cfRule>
    <cfRule type="cellIs" dxfId="586" priority="9" stopIfTrue="1" operator="lessThanOrEqual">
      <formula>0.1</formula>
    </cfRule>
  </conditionalFormatting>
  <conditionalFormatting sqref="B86">
    <cfRule type="cellIs" dxfId="585" priority="10" stopIfTrue="1" operator="notBetween">
      <formula>15</formula>
      <formula>85</formula>
    </cfRule>
    <cfRule type="cellIs" dxfId="584" priority="11" stopIfTrue="1" operator="notBetween">
      <formula>25</formula>
      <formula>75</formula>
    </cfRule>
  </conditionalFormatting>
  <conditionalFormatting sqref="B93">
    <cfRule type="cellIs" dxfId="583" priority="12" stopIfTrue="1" operator="lessThanOrEqual">
      <formula>0.05</formula>
    </cfRule>
    <cfRule type="cellIs" dxfId="582" priority="13" stopIfTrue="1" operator="lessThanOrEqual">
      <formula>0.1</formula>
    </cfRule>
  </conditionalFormatting>
  <conditionalFormatting sqref="B117">
    <cfRule type="cellIs" dxfId="581" priority="14" stopIfTrue="1" operator="notBetween">
      <formula>15</formula>
      <formula>85</formula>
    </cfRule>
    <cfRule type="cellIs" dxfId="580" priority="15" stopIfTrue="1" operator="notBetween">
      <formula>25</formula>
      <formula>75</formula>
    </cfRule>
  </conditionalFormatting>
  <conditionalFormatting sqref="B124">
    <cfRule type="cellIs" dxfId="579" priority="16" stopIfTrue="1" operator="lessThanOrEqual">
      <formula>0.05</formula>
    </cfRule>
    <cfRule type="cellIs" dxfId="578" priority="17" stopIfTrue="1" operator="lessThanOrEqual">
      <formula>0.1</formula>
    </cfRule>
  </conditionalFormatting>
  <conditionalFormatting sqref="B148">
    <cfRule type="cellIs" dxfId="577" priority="18" stopIfTrue="1" operator="notBetween">
      <formula>15</formula>
      <formula>85</formula>
    </cfRule>
    <cfRule type="cellIs" dxfId="576" priority="19" stopIfTrue="1" operator="notBetween">
      <formula>25</formula>
      <formula>75</formula>
    </cfRule>
  </conditionalFormatting>
  <conditionalFormatting sqref="B155">
    <cfRule type="cellIs" dxfId="575" priority="20" stopIfTrue="1" operator="lessThanOrEqual">
      <formula>0.05</formula>
    </cfRule>
    <cfRule type="cellIs" dxfId="574" priority="21" stopIfTrue="1" operator="lessThanOrEqual">
      <formula>0.1</formula>
    </cfRule>
  </conditionalFormatting>
  <conditionalFormatting sqref="B179">
    <cfRule type="cellIs" dxfId="573" priority="22" stopIfTrue="1" operator="notBetween">
      <formula>15</formula>
      <formula>85</formula>
    </cfRule>
    <cfRule type="cellIs" dxfId="572" priority="23" stopIfTrue="1" operator="notBetween">
      <formula>25</formula>
      <formula>75</formula>
    </cfRule>
  </conditionalFormatting>
  <conditionalFormatting sqref="B186">
    <cfRule type="cellIs" dxfId="571" priority="24" stopIfTrue="1" operator="lessThanOrEqual">
      <formula>0.05</formula>
    </cfRule>
    <cfRule type="cellIs" dxfId="570" priority="25" stopIfTrue="1" operator="lessThanOrEqual">
      <formula>0.1</formula>
    </cfRule>
  </conditionalFormatting>
  <conditionalFormatting sqref="B210">
    <cfRule type="cellIs" dxfId="569" priority="26" stopIfTrue="1" operator="notBetween">
      <formula>15</formula>
      <formula>85</formula>
    </cfRule>
    <cfRule type="cellIs" dxfId="568" priority="27" stopIfTrue="1" operator="notBetween">
      <formula>25</formula>
      <formula>75</formula>
    </cfRule>
  </conditionalFormatting>
  <conditionalFormatting sqref="B217">
    <cfRule type="cellIs" dxfId="567" priority="28" stopIfTrue="1" operator="lessThanOrEqual">
      <formula>0.05</formula>
    </cfRule>
    <cfRule type="cellIs" dxfId="566" priority="29" stopIfTrue="1" operator="lessThanOrEqual">
      <formula>0.1</formula>
    </cfRule>
  </conditionalFormatting>
  <conditionalFormatting sqref="B241">
    <cfRule type="cellIs" dxfId="565" priority="30" stopIfTrue="1" operator="notBetween">
      <formula>15</formula>
      <formula>85</formula>
    </cfRule>
    <cfRule type="cellIs" dxfId="564" priority="31" stopIfTrue="1" operator="notBetween">
      <formula>25</formula>
      <formula>75</formula>
    </cfRule>
  </conditionalFormatting>
  <conditionalFormatting sqref="B248">
    <cfRule type="cellIs" dxfId="563" priority="32" stopIfTrue="1" operator="lessThanOrEqual">
      <formula>0.05</formula>
    </cfRule>
    <cfRule type="cellIs" dxfId="562" priority="33" stopIfTrue="1" operator="lessThanOrEqual">
      <formula>0.1</formula>
    </cfRule>
  </conditionalFormatting>
  <conditionalFormatting sqref="B272">
    <cfRule type="cellIs" dxfId="561" priority="34" stopIfTrue="1" operator="notBetween">
      <formula>15</formula>
      <formula>85</formula>
    </cfRule>
    <cfRule type="cellIs" dxfId="560" priority="35" stopIfTrue="1" operator="notBetween">
      <formula>25</formula>
      <formula>75</formula>
    </cfRule>
  </conditionalFormatting>
  <conditionalFormatting sqref="B279">
    <cfRule type="cellIs" dxfId="559" priority="36" stopIfTrue="1" operator="lessThanOrEqual">
      <formula>0.05</formula>
    </cfRule>
    <cfRule type="cellIs" dxfId="558" priority="37" stopIfTrue="1" operator="lessThanOrEqual">
      <formula>0.1</formula>
    </cfRule>
  </conditionalFormatting>
  <conditionalFormatting sqref="B303">
    <cfRule type="cellIs" dxfId="557" priority="38" stopIfTrue="1" operator="notBetween">
      <formula>15</formula>
      <formula>85</formula>
    </cfRule>
    <cfRule type="cellIs" dxfId="556" priority="39" stopIfTrue="1" operator="notBetween">
      <formula>25</formula>
      <formula>75</formula>
    </cfRule>
  </conditionalFormatting>
  <conditionalFormatting sqref="B310">
    <cfRule type="cellIs" dxfId="555" priority="40" stopIfTrue="1" operator="lessThanOrEqual">
      <formula>0.05</formula>
    </cfRule>
    <cfRule type="cellIs" dxfId="554" priority="41" stopIfTrue="1" operator="lessThanOrEqual">
      <formula>0.1</formula>
    </cfRule>
  </conditionalFormatting>
  <conditionalFormatting sqref="B334">
    <cfRule type="cellIs" dxfId="553" priority="42" stopIfTrue="1" operator="notBetween">
      <formula>15</formula>
      <formula>85</formula>
    </cfRule>
    <cfRule type="cellIs" dxfId="552" priority="43" stopIfTrue="1" operator="notBetween">
      <formula>25</formula>
      <formula>75</formula>
    </cfRule>
  </conditionalFormatting>
  <conditionalFormatting sqref="B341">
    <cfRule type="cellIs" dxfId="551" priority="44" stopIfTrue="1" operator="lessThanOrEqual">
      <formula>0.05</formula>
    </cfRule>
    <cfRule type="cellIs" dxfId="550" priority="45" stopIfTrue="1" operator="lessThanOrEqual">
      <formula>0.1</formula>
    </cfRule>
  </conditionalFormatting>
  <conditionalFormatting sqref="B365">
    <cfRule type="cellIs" dxfId="549" priority="46" stopIfTrue="1" operator="notBetween">
      <formula>15</formula>
      <formula>85</formula>
    </cfRule>
    <cfRule type="cellIs" dxfId="548" priority="47" stopIfTrue="1" operator="notBetween">
      <formula>25</formula>
      <formula>75</formula>
    </cfRule>
  </conditionalFormatting>
  <conditionalFormatting sqref="B372">
    <cfRule type="cellIs" dxfId="547" priority="48" stopIfTrue="1" operator="lessThanOrEqual">
      <formula>0.05</formula>
    </cfRule>
    <cfRule type="cellIs" dxfId="546" priority="49" stopIfTrue="1" operator="lessThanOrEqual">
      <formula>0.1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9"/>
  <dimension ref="A1:G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26</v>
      </c>
    </row>
    <row r="2" spans="1:7">
      <c r="A2" s="2" t="s">
        <v>1772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173</v>
      </c>
      <c r="B4" t="e">
        <f>NA()</f>
        <v>#N/A</v>
      </c>
      <c r="C4">
        <v>270.473328324568</v>
      </c>
      <c r="D4">
        <v>283.65264991291366</v>
      </c>
      <c r="E4" t="s">
        <v>14</v>
      </c>
    </row>
    <row r="5" spans="1:7">
      <c r="A5" s="1" t="s">
        <v>174</v>
      </c>
      <c r="B5">
        <v>300.21808653537761</v>
      </c>
      <c r="C5">
        <v>288.94774861545875</v>
      </c>
      <c r="D5">
        <v>280.3010641058915</v>
      </c>
    </row>
    <row r="6" spans="1:7">
      <c r="A6" s="1" t="s">
        <v>175</v>
      </c>
      <c r="B6">
        <v>285.67132761990678</v>
      </c>
      <c r="C6">
        <v>303.68763557483732</v>
      </c>
      <c r="D6">
        <v>299.32651534048392</v>
      </c>
    </row>
    <row r="7" spans="1:7">
      <c r="A7" s="1" t="s">
        <v>176</v>
      </c>
      <c r="B7">
        <v>304.80293354865046</v>
      </c>
      <c r="C7">
        <v>305.96634370219272</v>
      </c>
      <c r="D7">
        <v>305.46009927453224</v>
      </c>
    </row>
    <row r="8" spans="1:7">
      <c r="A8" s="1" t="s">
        <v>177</v>
      </c>
      <c r="B8" t="e">
        <f>NA()</f>
        <v>#N/A</v>
      </c>
      <c r="C8">
        <v>331.11752163551989</v>
      </c>
      <c r="D8">
        <v>293.77657518361036</v>
      </c>
      <c r="E8" t="s">
        <v>14</v>
      </c>
    </row>
    <row r="9" spans="1:7">
      <c r="A9" s="1" t="s">
        <v>989</v>
      </c>
      <c r="B9" t="e">
        <f>NA()</f>
        <v>#N/A</v>
      </c>
      <c r="C9">
        <v>307.77122339061293</v>
      </c>
      <c r="D9">
        <v>278.49028948332727</v>
      </c>
      <c r="E9" t="s">
        <v>14</v>
      </c>
    </row>
    <row r="10" spans="1:7">
      <c r="A10" s="1" t="s">
        <v>990</v>
      </c>
      <c r="B10">
        <v>386.23869691184649</v>
      </c>
      <c r="C10">
        <v>344.48327508736895</v>
      </c>
      <c r="D10">
        <v>309.05077262693158</v>
      </c>
    </row>
    <row r="11" spans="1:7">
      <c r="A11" s="1" t="s">
        <v>991</v>
      </c>
      <c r="B11">
        <v>353.57570914902118</v>
      </c>
      <c r="C11">
        <v>330.99297893681046</v>
      </c>
      <c r="D11">
        <v>314.72461596103409</v>
      </c>
    </row>
    <row r="12" spans="1:7">
      <c r="A12" s="1" t="s">
        <v>992</v>
      </c>
      <c r="B12">
        <v>390.38062110557792</v>
      </c>
      <c r="C12">
        <v>348.61690034103822</v>
      </c>
      <c r="D12">
        <v>312.73268801191364</v>
      </c>
    </row>
    <row r="13" spans="1:7">
      <c r="A13" s="1"/>
    </row>
    <row r="14" spans="1:7">
      <c r="A14" s="4" t="s">
        <v>18</v>
      </c>
      <c r="B14">
        <v>9</v>
      </c>
    </row>
    <row r="15" spans="1:7">
      <c r="A15" s="4" t="s">
        <v>191</v>
      </c>
      <c r="B15">
        <v>8</v>
      </c>
    </row>
    <row r="16" spans="1:7">
      <c r="A16" s="4" t="s">
        <v>192</v>
      </c>
      <c r="B16">
        <v>1</v>
      </c>
    </row>
    <row r="17" spans="1:7">
      <c r="A17" s="6" t="s">
        <v>193</v>
      </c>
      <c r="B17">
        <v>88.888888888888886</v>
      </c>
    </row>
    <row r="18" spans="1:7">
      <c r="A18" s="1"/>
    </row>
    <row r="19" spans="1:7">
      <c r="A19" s="4" t="s">
        <v>19</v>
      </c>
      <c r="B19">
        <v>17.17129841197433</v>
      </c>
    </row>
    <row r="20" spans="1:7">
      <c r="A20" t="s">
        <v>20</v>
      </c>
      <c r="B20">
        <v>334.19648158597664</v>
      </c>
    </row>
    <row r="21" spans="1:7">
      <c r="A21" t="s">
        <v>23</v>
      </c>
      <c r="B21">
        <v>18.28104158919772</v>
      </c>
    </row>
    <row r="22" spans="1:7">
      <c r="A22" t="s">
        <v>24</v>
      </c>
      <c r="B22">
        <v>6.0936805297325725</v>
      </c>
    </row>
    <row r="23" spans="1:7">
      <c r="A23" t="s">
        <v>21</v>
      </c>
      <c r="B23">
        <v>2.8178862229799093</v>
      </c>
    </row>
    <row r="24" spans="1:7">
      <c r="A24" s="4" t="s">
        <v>22</v>
      </c>
      <c r="B24">
        <f>TDIST(ABS(B23),8,1)</f>
        <v>1.1283613409645527E-2</v>
      </c>
    </row>
    <row r="25" spans="1:7">
      <c r="A25" s="1"/>
    </row>
    <row r="26" spans="1:7">
      <c r="A26" s="5" t="s">
        <v>1773</v>
      </c>
    </row>
    <row r="27" spans="1:7">
      <c r="A27" s="4" t="s">
        <v>7</v>
      </c>
      <c r="B27" s="3" t="s">
        <v>8</v>
      </c>
      <c r="C27" s="3" t="s">
        <v>9</v>
      </c>
      <c r="D27" s="3" t="s">
        <v>10</v>
      </c>
      <c r="E27" s="3" t="s">
        <v>11</v>
      </c>
      <c r="F27" s="3" t="s">
        <v>12</v>
      </c>
      <c r="G27" s="3" t="s">
        <v>13</v>
      </c>
    </row>
    <row r="28" spans="1:7">
      <c r="A28" s="1" t="s">
        <v>198</v>
      </c>
      <c r="B28">
        <v>304.69869522588431</v>
      </c>
      <c r="C28">
        <v>309.19866013913941</v>
      </c>
      <c r="D28">
        <v>353.25739152694223</v>
      </c>
    </row>
    <row r="29" spans="1:7">
      <c r="A29" s="1" t="s">
        <v>199</v>
      </c>
      <c r="B29">
        <v>335.45704447862812</v>
      </c>
      <c r="C29">
        <v>332.53558382667842</v>
      </c>
      <c r="D29">
        <v>307.69230769230768</v>
      </c>
    </row>
    <row r="30" spans="1:7">
      <c r="A30" s="1" t="s">
        <v>200</v>
      </c>
      <c r="B30">
        <v>342.08067953765823</v>
      </c>
      <c r="C30">
        <v>339.73412112259973</v>
      </c>
      <c r="D30">
        <v>314.09697120777759</v>
      </c>
    </row>
    <row r="31" spans="1:7">
      <c r="A31" s="1" t="s">
        <v>201</v>
      </c>
      <c r="B31" t="e">
        <f>NA()</f>
        <v>#N/A</v>
      </c>
      <c r="C31" t="e">
        <f>NA()</f>
        <v>#N/A</v>
      </c>
      <c r="D31">
        <v>319.63470319634706</v>
      </c>
      <c r="E31" t="s">
        <v>81</v>
      </c>
      <c r="F31" t="s">
        <v>17</v>
      </c>
    </row>
    <row r="32" spans="1:7">
      <c r="A32" s="1" t="s">
        <v>202</v>
      </c>
      <c r="B32">
        <v>370.80768747644771</v>
      </c>
      <c r="C32" t="e">
        <f>NA()</f>
        <v>#N/A</v>
      </c>
      <c r="D32" t="e">
        <f>NA()</f>
        <v>#N/A</v>
      </c>
      <c r="F32" t="s">
        <v>15</v>
      </c>
      <c r="G32" t="s">
        <v>29</v>
      </c>
    </row>
    <row r="33" spans="1:7">
      <c r="A33" s="1" t="s">
        <v>203</v>
      </c>
      <c r="B33" t="e">
        <f>NA()</f>
        <v>#N/A</v>
      </c>
      <c r="C33">
        <v>305.84936918567604</v>
      </c>
      <c r="D33">
        <v>293.32681495966756</v>
      </c>
      <c r="E33" t="s">
        <v>16</v>
      </c>
    </row>
    <row r="34" spans="1:7">
      <c r="A34" s="1" t="s">
        <v>204</v>
      </c>
      <c r="B34" t="e">
        <f>NA()</f>
        <v>#N/A</v>
      </c>
      <c r="C34">
        <v>294.40628066732091</v>
      </c>
      <c r="D34">
        <v>305.15863405182853</v>
      </c>
      <c r="E34" t="s">
        <v>17</v>
      </c>
    </row>
    <row r="35" spans="1:7">
      <c r="A35" s="1" t="s">
        <v>205</v>
      </c>
      <c r="B35">
        <v>314.8107963301357</v>
      </c>
      <c r="C35">
        <v>306.08526660998422</v>
      </c>
      <c r="D35">
        <v>354.47040098430688</v>
      </c>
    </row>
    <row r="36" spans="1:7">
      <c r="A36" s="1" t="s">
        <v>993</v>
      </c>
      <c r="B36" t="e">
        <f>NA()</f>
        <v>#N/A</v>
      </c>
      <c r="C36">
        <v>332.1590337191746</v>
      </c>
      <c r="D36">
        <v>296.33288060254353</v>
      </c>
      <c r="E36" t="s">
        <v>40</v>
      </c>
    </row>
    <row r="37" spans="1:7">
      <c r="A37" s="1" t="s">
        <v>994</v>
      </c>
      <c r="B37">
        <v>335.35444269780669</v>
      </c>
      <c r="C37">
        <v>331.78333542792512</v>
      </c>
      <c r="D37">
        <v>320.52912744848641</v>
      </c>
    </row>
    <row r="38" spans="1:7">
      <c r="A38" s="1" t="s">
        <v>995</v>
      </c>
      <c r="B38" t="e">
        <f>NA()</f>
        <v>#N/A</v>
      </c>
      <c r="C38">
        <v>345.90439586836413</v>
      </c>
      <c r="D38" t="e">
        <f>NA()</f>
        <v>#N/A</v>
      </c>
      <c r="E38" t="s">
        <v>29</v>
      </c>
      <c r="G38" t="s">
        <v>35</v>
      </c>
    </row>
    <row r="39" spans="1:7">
      <c r="A39" s="1" t="s">
        <v>996</v>
      </c>
      <c r="B39">
        <v>423.8659547749017</v>
      </c>
      <c r="C39">
        <v>376.12417609543843</v>
      </c>
      <c r="D39">
        <v>304.0283759817583</v>
      </c>
    </row>
    <row r="41" spans="1:7">
      <c r="A41" s="3" t="s">
        <v>18</v>
      </c>
      <c r="B41">
        <v>9</v>
      </c>
    </row>
    <row r="42" spans="1:7">
      <c r="A42" s="3" t="s">
        <v>191</v>
      </c>
      <c r="B42">
        <v>6</v>
      </c>
    </row>
    <row r="43" spans="1:7">
      <c r="A43" s="3" t="s">
        <v>192</v>
      </c>
      <c r="B43">
        <v>3</v>
      </c>
    </row>
    <row r="44" spans="1:7">
      <c r="A44" s="6" t="s">
        <v>193</v>
      </c>
      <c r="B44">
        <v>66.666666666666671</v>
      </c>
    </row>
    <row r="45" spans="1:7">
      <c r="A45" s="1"/>
    </row>
    <row r="46" spans="1:7">
      <c r="A46" s="4" t="s">
        <v>19</v>
      </c>
      <c r="B46">
        <v>8.7758802598131318</v>
      </c>
    </row>
    <row r="47" spans="1:7">
      <c r="A47" s="1" t="s">
        <v>20</v>
      </c>
      <c r="B47">
        <v>1468.0003127271766</v>
      </c>
    </row>
    <row r="48" spans="1:7">
      <c r="A48" s="1" t="s">
        <v>23</v>
      </c>
      <c r="B48">
        <v>38.314492202392252</v>
      </c>
    </row>
    <row r="49" spans="1:7">
      <c r="A49" s="1" t="s">
        <v>24</v>
      </c>
      <c r="B49">
        <v>12.771497400797417</v>
      </c>
    </row>
    <row r="50" spans="1:7">
      <c r="A50" s="1" t="s">
        <v>21</v>
      </c>
      <c r="B50">
        <v>0.68714575780794429</v>
      </c>
    </row>
    <row r="51" spans="1:7">
      <c r="A51" s="4" t="s">
        <v>22</v>
      </c>
      <c r="B51">
        <f>TDIST(ABS(B50),8,1)</f>
        <v>0.25570762147220921</v>
      </c>
    </row>
    <row r="52" spans="1:7">
      <c r="A52" s="1"/>
    </row>
    <row r="53" spans="1:7">
      <c r="A53" s="5" t="s">
        <v>1774</v>
      </c>
    </row>
    <row r="54" spans="1:7">
      <c r="A54" s="4" t="s">
        <v>7</v>
      </c>
      <c r="B54" s="3" t="s">
        <v>8</v>
      </c>
      <c r="C54" s="3" t="s">
        <v>9</v>
      </c>
      <c r="D54" s="3" t="s">
        <v>10</v>
      </c>
      <c r="E54" s="3" t="s">
        <v>11</v>
      </c>
      <c r="F54" s="3" t="s">
        <v>12</v>
      </c>
      <c r="G54" s="3" t="s">
        <v>13</v>
      </c>
    </row>
    <row r="55" spans="1:7">
      <c r="A55" s="1" t="s">
        <v>220</v>
      </c>
      <c r="B55">
        <v>380.58136050344621</v>
      </c>
      <c r="C55">
        <v>354.19997540277944</v>
      </c>
      <c r="D55">
        <v>322.89628180039136</v>
      </c>
    </row>
    <row r="56" spans="1:7">
      <c r="A56" s="1" t="s">
        <v>221</v>
      </c>
      <c r="B56">
        <v>381.40019102347594</v>
      </c>
      <c r="C56">
        <v>326.8135677147809</v>
      </c>
      <c r="D56">
        <v>319.27023945267956</v>
      </c>
    </row>
    <row r="57" spans="1:7">
      <c r="A57" s="1" t="s">
        <v>222</v>
      </c>
      <c r="B57">
        <v>363.1822969757639</v>
      </c>
      <c r="C57">
        <v>344.18256640478864</v>
      </c>
      <c r="D57">
        <v>382.81009146930251</v>
      </c>
    </row>
    <row r="58" spans="1:7">
      <c r="A58" s="1" t="s">
        <v>223</v>
      </c>
      <c r="B58">
        <v>365.24232218084569</v>
      </c>
      <c r="C58">
        <v>355.95105672969964</v>
      </c>
      <c r="D58">
        <v>318.30238726790446</v>
      </c>
    </row>
    <row r="59" spans="1:7">
      <c r="A59" s="1" t="s">
        <v>224</v>
      </c>
      <c r="B59">
        <v>330.9810158035981</v>
      </c>
      <c r="C59">
        <v>359.77580394939258</v>
      </c>
      <c r="D59" t="e">
        <f>NA()</f>
        <v>#N/A</v>
      </c>
      <c r="G59" t="s">
        <v>40</v>
      </c>
    </row>
    <row r="60" spans="1:7">
      <c r="A60" s="1" t="s">
        <v>225</v>
      </c>
      <c r="B60" t="e">
        <f>NA()</f>
        <v>#N/A</v>
      </c>
      <c r="C60">
        <v>315.20449197875138</v>
      </c>
      <c r="D60">
        <v>284.32472876917325</v>
      </c>
      <c r="E60" t="s">
        <v>29</v>
      </c>
    </row>
    <row r="61" spans="1:7">
      <c r="A61" s="1" t="s">
        <v>226</v>
      </c>
      <c r="B61" t="e">
        <f>NA()</f>
        <v>#N/A</v>
      </c>
      <c r="C61">
        <v>275.58050523092629</v>
      </c>
      <c r="D61">
        <v>289.89008334339894</v>
      </c>
      <c r="E61" t="s">
        <v>62</v>
      </c>
    </row>
    <row r="62" spans="1:7">
      <c r="A62" s="1" t="s">
        <v>227</v>
      </c>
      <c r="B62" t="e">
        <f>NA()</f>
        <v>#N/A</v>
      </c>
      <c r="C62">
        <v>285.96513232158537</v>
      </c>
      <c r="D62">
        <v>326.70954711545937</v>
      </c>
      <c r="E62" t="s">
        <v>82</v>
      </c>
    </row>
    <row r="63" spans="1:7">
      <c r="A63" s="1" t="s">
        <v>997</v>
      </c>
      <c r="B63">
        <v>318.01590079503978</v>
      </c>
      <c r="C63">
        <v>302.6100113478754</v>
      </c>
      <c r="D63">
        <v>307.88026878436165</v>
      </c>
    </row>
    <row r="64" spans="1:7">
      <c r="A64" s="1" t="s">
        <v>998</v>
      </c>
      <c r="B64">
        <v>359.18285899578456</v>
      </c>
      <c r="C64">
        <v>316.66247800955017</v>
      </c>
      <c r="D64">
        <v>324.57496136012367</v>
      </c>
    </row>
    <row r="65" spans="1:6">
      <c r="A65" s="1" t="s">
        <v>999</v>
      </c>
      <c r="B65" t="e">
        <f>NA()</f>
        <v>#N/A</v>
      </c>
      <c r="C65" t="e">
        <f>NA()</f>
        <v>#N/A</v>
      </c>
      <c r="D65">
        <v>313.35683509596549</v>
      </c>
      <c r="E65" t="s">
        <v>15</v>
      </c>
      <c r="F65" t="s">
        <v>46</v>
      </c>
    </row>
    <row r="66" spans="1:6">
      <c r="A66" t="s">
        <v>1000</v>
      </c>
      <c r="B66">
        <v>331.27541032976961</v>
      </c>
      <c r="C66">
        <v>291.37380191693296</v>
      </c>
      <c r="D66">
        <v>292.75808936825888</v>
      </c>
    </row>
    <row r="68" spans="1:6">
      <c r="A68" s="3" t="s">
        <v>18</v>
      </c>
      <c r="B68">
        <v>10</v>
      </c>
    </row>
    <row r="69" spans="1:6">
      <c r="A69" s="3" t="s">
        <v>191</v>
      </c>
      <c r="B69">
        <v>4</v>
      </c>
    </row>
    <row r="70" spans="1:6">
      <c r="A70" s="4" t="s">
        <v>192</v>
      </c>
      <c r="B70">
        <v>6</v>
      </c>
    </row>
    <row r="71" spans="1:6">
      <c r="A71" s="6" t="s">
        <v>193</v>
      </c>
      <c r="B71">
        <v>40</v>
      </c>
    </row>
    <row r="72" spans="1:6">
      <c r="A72" s="1"/>
    </row>
    <row r="73" spans="1:6">
      <c r="A73" s="4" t="s">
        <v>19</v>
      </c>
      <c r="B73">
        <v>-8.7309167338343485E-2</v>
      </c>
    </row>
    <row r="74" spans="1:6">
      <c r="A74" s="1" t="s">
        <v>20</v>
      </c>
      <c r="B74">
        <v>761.88724520753578</v>
      </c>
    </row>
    <row r="75" spans="1:6">
      <c r="A75" s="1" t="s">
        <v>23</v>
      </c>
      <c r="B75">
        <v>27.602305070546841</v>
      </c>
    </row>
    <row r="76" spans="1:6">
      <c r="A76" s="1" t="s">
        <v>24</v>
      </c>
      <c r="B76">
        <v>8.7286152693742647</v>
      </c>
    </row>
    <row r="77" spans="1:6">
      <c r="A77" s="1" t="s">
        <v>21</v>
      </c>
      <c r="B77">
        <v>-1.0002636689084188E-2</v>
      </c>
    </row>
    <row r="78" spans="1:6">
      <c r="A78" s="4" t="s">
        <v>22</v>
      </c>
      <c r="B78">
        <f>TDIST(ABS(B77),9,1)</f>
        <v>0.49611869969788597</v>
      </c>
    </row>
    <row r="79" spans="1:6">
      <c r="A79" s="1"/>
    </row>
    <row r="80" spans="1:6">
      <c r="A80" s="5" t="s">
        <v>1775</v>
      </c>
    </row>
    <row r="81" spans="1:7">
      <c r="A81" s="4" t="s">
        <v>7</v>
      </c>
      <c r="B81" s="3" t="s">
        <v>8</v>
      </c>
      <c r="C81" s="3" t="s">
        <v>9</v>
      </c>
      <c r="D81" s="3" t="s">
        <v>10</v>
      </c>
      <c r="E81" s="3" t="s">
        <v>11</v>
      </c>
      <c r="F81" s="3" t="s">
        <v>12</v>
      </c>
      <c r="G81" s="3" t="s">
        <v>13</v>
      </c>
    </row>
    <row r="82" spans="1:7">
      <c r="A82" s="1" t="s">
        <v>242</v>
      </c>
      <c r="B82">
        <v>360.09002250562639</v>
      </c>
      <c r="C82">
        <v>352.46603842858894</v>
      </c>
      <c r="D82">
        <v>332.45183226293921</v>
      </c>
    </row>
    <row r="83" spans="1:7">
      <c r="A83" s="1" t="s">
        <v>243</v>
      </c>
      <c r="B83">
        <v>370.29375044109111</v>
      </c>
      <c r="C83">
        <v>339.59351685104195</v>
      </c>
      <c r="D83" t="e">
        <f>NA()</f>
        <v>#N/A</v>
      </c>
      <c r="G83" t="s">
        <v>83</v>
      </c>
    </row>
    <row r="84" spans="1:7">
      <c r="A84" s="1" t="s">
        <v>244</v>
      </c>
      <c r="B84" t="e">
        <f>NA()</f>
        <v>#N/A</v>
      </c>
      <c r="C84">
        <v>340.6986791754104</v>
      </c>
      <c r="D84">
        <v>350.98832201215527</v>
      </c>
      <c r="E84" t="s">
        <v>46</v>
      </c>
    </row>
    <row r="85" spans="1:7">
      <c r="A85" s="1" t="s">
        <v>245</v>
      </c>
      <c r="B85">
        <v>355.74962842441477</v>
      </c>
      <c r="C85">
        <v>307.85017957927141</v>
      </c>
      <c r="D85">
        <v>295.74861367837337</v>
      </c>
    </row>
    <row r="86" spans="1:7">
      <c r="A86" s="1" t="s">
        <v>246</v>
      </c>
      <c r="B86">
        <v>317.39062556015102</v>
      </c>
      <c r="C86">
        <v>281.4467349709912</v>
      </c>
      <c r="D86">
        <v>322.33801694239753</v>
      </c>
    </row>
    <row r="87" spans="1:7">
      <c r="A87" s="1" t="s">
        <v>247</v>
      </c>
      <c r="B87">
        <v>343.95446390565314</v>
      </c>
      <c r="C87">
        <v>284.75084301236416</v>
      </c>
      <c r="D87">
        <v>294.91275497665276</v>
      </c>
    </row>
    <row r="88" spans="1:7">
      <c r="A88" s="1" t="s">
        <v>248</v>
      </c>
      <c r="B88">
        <v>297.48341054213097</v>
      </c>
      <c r="C88">
        <v>296.62588060808304</v>
      </c>
      <c r="D88">
        <v>311.76543362612887</v>
      </c>
    </row>
    <row r="89" spans="1:7">
      <c r="A89" s="1" t="s">
        <v>249</v>
      </c>
      <c r="B89" t="e">
        <f>NA()</f>
        <v>#N/A</v>
      </c>
      <c r="C89">
        <v>297.80369772924678</v>
      </c>
      <c r="D89" t="e">
        <f>NA()</f>
        <v>#N/A</v>
      </c>
      <c r="E89" t="s">
        <v>15</v>
      </c>
      <c r="G89" t="s">
        <v>40</v>
      </c>
    </row>
    <row r="90" spans="1:7">
      <c r="A90" t="s">
        <v>1001</v>
      </c>
      <c r="B90">
        <v>307.37307656284719</v>
      </c>
      <c r="C90">
        <v>286.72032193158952</v>
      </c>
      <c r="D90" t="e">
        <f>NA()</f>
        <v>#N/A</v>
      </c>
      <c r="G90" t="s">
        <v>15</v>
      </c>
    </row>
    <row r="91" spans="1:7">
      <c r="A91" t="s">
        <v>1002</v>
      </c>
      <c r="B91" t="e">
        <f>NA()</f>
        <v>#N/A</v>
      </c>
      <c r="C91">
        <v>279.44601054050742</v>
      </c>
      <c r="D91">
        <v>293.47406358604712</v>
      </c>
      <c r="E91" t="s">
        <v>84</v>
      </c>
    </row>
    <row r="92" spans="1:7">
      <c r="A92" t="s">
        <v>1003</v>
      </c>
      <c r="B92" t="e">
        <f>NA()</f>
        <v>#N/A</v>
      </c>
      <c r="C92">
        <v>300.33620487037206</v>
      </c>
      <c r="D92">
        <v>285.6426960661488</v>
      </c>
      <c r="E92" t="s">
        <v>85</v>
      </c>
    </row>
    <row r="93" spans="1:7">
      <c r="A93" t="s">
        <v>1004</v>
      </c>
      <c r="B93" t="e">
        <f>NA()</f>
        <v>#N/A</v>
      </c>
      <c r="C93" t="e">
        <f>NA()</f>
        <v>#N/A</v>
      </c>
      <c r="D93" t="e">
        <f>NA()</f>
        <v>#N/A</v>
      </c>
      <c r="E93" t="s">
        <v>15</v>
      </c>
      <c r="F93" t="s">
        <v>40</v>
      </c>
      <c r="G93" t="s">
        <v>43</v>
      </c>
    </row>
    <row r="94" spans="1:7">
      <c r="A94" s="1"/>
    </row>
    <row r="95" spans="1:7">
      <c r="A95" s="3" t="s">
        <v>18</v>
      </c>
      <c r="B95">
        <v>8</v>
      </c>
    </row>
    <row r="96" spans="1:7">
      <c r="A96" s="3" t="s">
        <v>191</v>
      </c>
      <c r="B96">
        <v>3</v>
      </c>
    </row>
    <row r="97" spans="1:7">
      <c r="A97" s="3" t="s">
        <v>192</v>
      </c>
      <c r="B97">
        <v>5</v>
      </c>
    </row>
    <row r="98" spans="1:7">
      <c r="A98" s="6" t="s">
        <v>193</v>
      </c>
      <c r="B98">
        <v>37.5</v>
      </c>
    </row>
    <row r="99" spans="1:7">
      <c r="A99" s="1"/>
    </row>
    <row r="100" spans="1:7">
      <c r="A100" s="4" t="s">
        <v>19</v>
      </c>
      <c r="B100">
        <v>-5.4626452456567884</v>
      </c>
    </row>
    <row r="101" spans="1:7">
      <c r="A101" s="1" t="s">
        <v>20</v>
      </c>
      <c r="B101">
        <v>404.48886937328672</v>
      </c>
    </row>
    <row r="102" spans="1:7">
      <c r="A102" s="1" t="s">
        <v>23</v>
      </c>
      <c r="B102">
        <v>20.111908645707565</v>
      </c>
    </row>
    <row r="103" spans="1:7">
      <c r="A103" s="1" t="s">
        <v>24</v>
      </c>
      <c r="B103">
        <v>7.1106334929920862</v>
      </c>
    </row>
    <row r="104" spans="1:7">
      <c r="A104" s="1" t="s">
        <v>21</v>
      </c>
      <c r="B104">
        <v>-0.76823608628408713</v>
      </c>
    </row>
    <row r="105" spans="1:7">
      <c r="A105" s="4" t="s">
        <v>22</v>
      </c>
      <c r="B105">
        <f>TDIST(ABS(B104),7,1)</f>
        <v>0.23373368049867554</v>
      </c>
    </row>
    <row r="106" spans="1:7">
      <c r="A106" s="1"/>
    </row>
    <row r="107" spans="1:7">
      <c r="A107" s="5" t="s">
        <v>1776</v>
      </c>
    </row>
    <row r="108" spans="1:7">
      <c r="A108" s="4" t="s">
        <v>7</v>
      </c>
      <c r="B108" s="3" t="s">
        <v>8</v>
      </c>
      <c r="C108" s="3" t="s">
        <v>9</v>
      </c>
      <c r="D108" s="3" t="s">
        <v>10</v>
      </c>
      <c r="E108" s="3" t="s">
        <v>11</v>
      </c>
      <c r="F108" s="3" t="s">
        <v>12</v>
      </c>
      <c r="G108" s="3" t="s">
        <v>13</v>
      </c>
    </row>
    <row r="109" spans="1:7">
      <c r="A109" s="1" t="s">
        <v>264</v>
      </c>
      <c r="B109">
        <v>364.7234678624813</v>
      </c>
      <c r="C109">
        <v>334.87017714147055</v>
      </c>
      <c r="D109">
        <v>355.95105672969964</v>
      </c>
    </row>
    <row r="110" spans="1:7">
      <c r="A110" s="1" t="s">
        <v>265</v>
      </c>
      <c r="B110">
        <v>341.46219703966256</v>
      </c>
      <c r="C110">
        <v>309.79734090615722</v>
      </c>
      <c r="D110">
        <v>298.32193909260411</v>
      </c>
    </row>
    <row r="111" spans="1:7">
      <c r="A111" s="1" t="s">
        <v>266</v>
      </c>
      <c r="B111">
        <v>312.30449688446231</v>
      </c>
      <c r="C111">
        <v>346.39948616537407</v>
      </c>
      <c r="D111" t="e">
        <f>NA()</f>
        <v>#N/A</v>
      </c>
      <c r="G111" t="s">
        <v>42</v>
      </c>
    </row>
    <row r="112" spans="1:7">
      <c r="A112" s="1" t="s">
        <v>267</v>
      </c>
      <c r="B112">
        <v>289.72117847960487</v>
      </c>
      <c r="C112">
        <v>270.43946412920997</v>
      </c>
      <c r="D112">
        <v>269.29310559780578</v>
      </c>
    </row>
    <row r="113" spans="1:7">
      <c r="A113" s="1" t="s">
        <v>268</v>
      </c>
      <c r="B113">
        <v>312.46870305458191</v>
      </c>
      <c r="C113" t="e">
        <f>NA()</f>
        <v>#N/A</v>
      </c>
      <c r="D113" t="e">
        <f>NA()</f>
        <v>#N/A</v>
      </c>
      <c r="F113" t="s">
        <v>40</v>
      </c>
      <c r="G113" t="s">
        <v>86</v>
      </c>
    </row>
    <row r="114" spans="1:7">
      <c r="A114" s="1" t="s">
        <v>269</v>
      </c>
      <c r="B114" t="e">
        <f>NA()</f>
        <v>#N/A</v>
      </c>
      <c r="C114">
        <v>281.3425468904245</v>
      </c>
      <c r="D114">
        <v>309.63746613340214</v>
      </c>
      <c r="E114" t="s">
        <v>15</v>
      </c>
    </row>
    <row r="115" spans="1:7">
      <c r="A115" s="1" t="s">
        <v>270</v>
      </c>
      <c r="B115">
        <v>304.59606795922895</v>
      </c>
      <c r="C115">
        <v>295.56650246305418</v>
      </c>
      <c r="D115">
        <v>313.58885017421608</v>
      </c>
    </row>
    <row r="116" spans="1:7">
      <c r="A116" s="1" t="s">
        <v>271</v>
      </c>
      <c r="B116">
        <v>296.53537747743201</v>
      </c>
      <c r="C116">
        <v>297.58214507129577</v>
      </c>
      <c r="D116">
        <v>301.69704588309241</v>
      </c>
    </row>
    <row r="117" spans="1:7">
      <c r="A117" s="1" t="s">
        <v>1005</v>
      </c>
      <c r="B117">
        <v>312.8838970090506</v>
      </c>
      <c r="C117">
        <v>272.596843615495</v>
      </c>
      <c r="D117">
        <v>287.18982239576775</v>
      </c>
    </row>
    <row r="118" spans="1:7">
      <c r="A118" s="1" t="s">
        <v>1006</v>
      </c>
      <c r="B118" t="e">
        <f>NA()</f>
        <v>#N/A</v>
      </c>
      <c r="C118">
        <v>277.38538589957619</v>
      </c>
      <c r="D118">
        <v>282.87841191066997</v>
      </c>
      <c r="E118" t="s">
        <v>15</v>
      </c>
    </row>
    <row r="119" spans="1:7">
      <c r="A119" s="1" t="s">
        <v>1007</v>
      </c>
      <c r="B119">
        <v>298.89409186011756</v>
      </c>
      <c r="C119">
        <v>264.4466209598433</v>
      </c>
      <c r="D119">
        <v>309.99755799755798</v>
      </c>
    </row>
    <row r="120" spans="1:7">
      <c r="A120" t="s">
        <v>1008</v>
      </c>
      <c r="B120">
        <v>331.74372759630444</v>
      </c>
      <c r="C120">
        <v>266.89731867045595</v>
      </c>
      <c r="D120">
        <v>290.26098026734564</v>
      </c>
    </row>
    <row r="122" spans="1:7">
      <c r="A122" s="3" t="s">
        <v>18</v>
      </c>
      <c r="B122">
        <v>10</v>
      </c>
    </row>
    <row r="123" spans="1:7">
      <c r="A123" s="3" t="s">
        <v>191</v>
      </c>
      <c r="B123">
        <v>2</v>
      </c>
    </row>
    <row r="124" spans="1:7">
      <c r="A124" s="4" t="s">
        <v>192</v>
      </c>
      <c r="B124">
        <v>8</v>
      </c>
    </row>
    <row r="125" spans="1:7">
      <c r="A125" s="6" t="s">
        <v>193</v>
      </c>
      <c r="B125">
        <v>20</v>
      </c>
    </row>
    <row r="126" spans="1:7">
      <c r="A126" s="1"/>
    </row>
    <row r="127" spans="1:7">
      <c r="A127" s="4" t="s">
        <v>19</v>
      </c>
      <c r="B127">
        <v>-14.789189043517887</v>
      </c>
    </row>
    <row r="128" spans="1:7">
      <c r="A128" s="1" t="s">
        <v>20</v>
      </c>
      <c r="B128">
        <v>266.26868184186469</v>
      </c>
    </row>
    <row r="129" spans="1:7">
      <c r="A129" s="1" t="s">
        <v>23</v>
      </c>
      <c r="B129">
        <v>16.317741321698438</v>
      </c>
    </row>
    <row r="130" spans="1:7">
      <c r="A130" s="1" t="s">
        <v>24</v>
      </c>
      <c r="B130">
        <v>5.1601228846013418</v>
      </c>
    </row>
    <row r="131" spans="1:7">
      <c r="A131" s="1" t="s">
        <v>21</v>
      </c>
      <c r="B131">
        <v>-2.8660536530343621</v>
      </c>
    </row>
    <row r="132" spans="1:7">
      <c r="A132" s="4" t="s">
        <v>22</v>
      </c>
      <c r="B132">
        <f>TDIST(ABS(B131),9,1)</f>
        <v>9.2979713083911082E-3</v>
      </c>
    </row>
    <row r="133" spans="1:7">
      <c r="A133" s="1"/>
    </row>
    <row r="134" spans="1:7">
      <c r="A134" s="5" t="s">
        <v>1777</v>
      </c>
    </row>
    <row r="135" spans="1:7">
      <c r="A135" s="4" t="s">
        <v>7</v>
      </c>
      <c r="B135" s="3" t="s">
        <v>8</v>
      </c>
      <c r="C135" s="3" t="s">
        <v>9</v>
      </c>
      <c r="D135" s="3" t="s">
        <v>10</v>
      </c>
      <c r="E135" s="3" t="s">
        <v>11</v>
      </c>
      <c r="F135" s="3" t="s">
        <v>12</v>
      </c>
      <c r="G135" s="3" t="s">
        <v>13</v>
      </c>
    </row>
    <row r="136" spans="1:7">
      <c r="A136" s="1" t="s">
        <v>286</v>
      </c>
      <c r="B136">
        <v>298.66505769665883</v>
      </c>
      <c r="C136">
        <v>290.13539651837522</v>
      </c>
      <c r="D136">
        <v>272.45206861755804</v>
      </c>
    </row>
    <row r="137" spans="1:7">
      <c r="A137" s="1" t="s">
        <v>287</v>
      </c>
      <c r="B137">
        <v>317.57120128527197</v>
      </c>
      <c r="C137">
        <v>319.31069437404966</v>
      </c>
      <c r="D137">
        <v>284.43113772455092</v>
      </c>
    </row>
    <row r="138" spans="1:7">
      <c r="A138" s="1" t="s">
        <v>288</v>
      </c>
      <c r="B138" t="e">
        <f>NA()</f>
        <v>#N/A</v>
      </c>
      <c r="C138">
        <v>289.73843058350099</v>
      </c>
      <c r="D138">
        <v>330.61991233562929</v>
      </c>
      <c r="E138" t="s">
        <v>36</v>
      </c>
    </row>
    <row r="139" spans="1:7">
      <c r="A139" s="1" t="s">
        <v>289</v>
      </c>
      <c r="B139">
        <v>305.70248639502449</v>
      </c>
      <c r="C139">
        <v>278.60183154907776</v>
      </c>
      <c r="D139">
        <v>268.82389545737402</v>
      </c>
    </row>
    <row r="140" spans="1:7">
      <c r="A140" s="1" t="s">
        <v>290</v>
      </c>
      <c r="B140">
        <v>317.87285085965613</v>
      </c>
      <c r="C140">
        <v>284.82198625858842</v>
      </c>
      <c r="D140">
        <v>296.10258110677455</v>
      </c>
    </row>
    <row r="141" spans="1:7">
      <c r="A141" s="1" t="s">
        <v>291</v>
      </c>
      <c r="B141" t="e">
        <f>NA()</f>
        <v>#N/A</v>
      </c>
      <c r="C141">
        <v>374.13748363989004</v>
      </c>
      <c r="D141">
        <v>332.1590337191746</v>
      </c>
      <c r="E141" t="s">
        <v>87</v>
      </c>
    </row>
    <row r="142" spans="1:7">
      <c r="A142" s="1" t="s">
        <v>292</v>
      </c>
      <c r="B142">
        <v>331.61906606064582</v>
      </c>
      <c r="C142">
        <v>280.84774411649977</v>
      </c>
      <c r="D142">
        <v>300.48829347689997</v>
      </c>
    </row>
    <row r="143" spans="1:7">
      <c r="A143" s="1" t="s">
        <v>293</v>
      </c>
      <c r="B143" t="e">
        <f>NA()</f>
        <v>#N/A</v>
      </c>
      <c r="C143">
        <v>303.64372469635623</v>
      </c>
      <c r="D143">
        <v>304.54381536242335</v>
      </c>
      <c r="E143" t="s">
        <v>17</v>
      </c>
    </row>
    <row r="144" spans="1:7">
      <c r="A144" t="s">
        <v>1009</v>
      </c>
      <c r="B144" t="e">
        <f>NA()</f>
        <v>#N/A</v>
      </c>
      <c r="C144">
        <v>279.24066135946111</v>
      </c>
      <c r="D144">
        <v>280.04219387331989</v>
      </c>
      <c r="E144" t="s">
        <v>88</v>
      </c>
    </row>
    <row r="145" spans="1:5">
      <c r="A145" t="s">
        <v>1010</v>
      </c>
      <c r="B145">
        <v>304.67571644042232</v>
      </c>
      <c r="C145">
        <v>270.60886995740412</v>
      </c>
      <c r="D145">
        <v>292.50457038391221</v>
      </c>
    </row>
    <row r="146" spans="1:5">
      <c r="A146" t="s">
        <v>1011</v>
      </c>
      <c r="B146">
        <v>295.42685201303061</v>
      </c>
      <c r="C146">
        <v>268.79044300647092</v>
      </c>
      <c r="D146">
        <v>306.20050224374222</v>
      </c>
    </row>
    <row r="147" spans="1:5">
      <c r="A147" t="s">
        <v>1012</v>
      </c>
      <c r="B147" t="e">
        <f>NA()</f>
        <v>#N/A</v>
      </c>
      <c r="C147">
        <v>282.91351284278448</v>
      </c>
      <c r="D147">
        <v>276.39155470249517</v>
      </c>
      <c r="E147" t="s">
        <v>17</v>
      </c>
    </row>
    <row r="148" spans="1:5">
      <c r="A148" s="1"/>
    </row>
    <row r="149" spans="1:5">
      <c r="A149" s="4" t="s">
        <v>18</v>
      </c>
      <c r="B149">
        <v>12</v>
      </c>
    </row>
    <row r="150" spans="1:5">
      <c r="A150" s="4" t="s">
        <v>191</v>
      </c>
      <c r="B150">
        <v>5</v>
      </c>
    </row>
    <row r="151" spans="1:5">
      <c r="A151" s="4" t="s">
        <v>192</v>
      </c>
      <c r="B151">
        <v>7</v>
      </c>
    </row>
    <row r="152" spans="1:5">
      <c r="A152" s="6" t="s">
        <v>193</v>
      </c>
      <c r="B152">
        <v>41.666666666666664</v>
      </c>
    </row>
    <row r="153" spans="1:5">
      <c r="A153" s="1"/>
    </row>
    <row r="154" spans="1:5">
      <c r="A154" s="4" t="s">
        <v>19</v>
      </c>
      <c r="B154">
        <v>-1.8307316751162925</v>
      </c>
    </row>
    <row r="155" spans="1:5">
      <c r="A155" s="1" t="s">
        <v>20</v>
      </c>
      <c r="B155">
        <v>677.64402204541375</v>
      </c>
    </row>
    <row r="156" spans="1:5">
      <c r="A156" t="s">
        <v>23</v>
      </c>
      <c r="B156">
        <v>26.031596609609135</v>
      </c>
    </row>
    <row r="157" spans="1:5">
      <c r="A157" t="s">
        <v>24</v>
      </c>
      <c r="B157">
        <v>7.5146746549967913</v>
      </c>
    </row>
    <row r="158" spans="1:5">
      <c r="A158" t="s">
        <v>21</v>
      </c>
      <c r="B158">
        <v>-0.24362088302771295</v>
      </c>
    </row>
    <row r="159" spans="1:5">
      <c r="A159" s="3" t="s">
        <v>22</v>
      </c>
      <c r="B159">
        <f>TDIST(ABS(B158),11,1)</f>
        <v>0.40600411249356494</v>
      </c>
    </row>
    <row r="160" spans="1:5">
      <c r="A160" s="1"/>
    </row>
    <row r="161" spans="1:7">
      <c r="A161" s="5" t="s">
        <v>1778</v>
      </c>
    </row>
    <row r="162" spans="1:7">
      <c r="A162" s="4" t="s">
        <v>7</v>
      </c>
      <c r="B162" s="3" t="s">
        <v>8</v>
      </c>
      <c r="C162" s="3" t="s">
        <v>9</v>
      </c>
      <c r="D162" s="3" t="s">
        <v>10</v>
      </c>
      <c r="E162" s="3" t="s">
        <v>11</v>
      </c>
      <c r="F162" s="3" t="s">
        <v>12</v>
      </c>
      <c r="G162" s="3" t="s">
        <v>13</v>
      </c>
    </row>
    <row r="163" spans="1:7">
      <c r="A163" s="1" t="s">
        <v>304</v>
      </c>
      <c r="B163" t="e">
        <f>NA()</f>
        <v>#N/A</v>
      </c>
      <c r="C163" t="e">
        <f>NA()</f>
        <v>#N/A</v>
      </c>
      <c r="D163" t="e">
        <f>NA()</f>
        <v>#N/A</v>
      </c>
      <c r="E163" t="s">
        <v>89</v>
      </c>
      <c r="F163" t="s">
        <v>15</v>
      </c>
      <c r="G163" t="s">
        <v>17</v>
      </c>
    </row>
    <row r="164" spans="1:7">
      <c r="A164" s="1" t="s">
        <v>305</v>
      </c>
      <c r="B164" t="e">
        <f>NA()</f>
        <v>#N/A</v>
      </c>
      <c r="C164">
        <v>285.13722228822621</v>
      </c>
      <c r="D164">
        <v>276.60391855551291</v>
      </c>
      <c r="E164" t="s">
        <v>90</v>
      </c>
    </row>
    <row r="165" spans="1:7">
      <c r="A165" s="1" t="s">
        <v>306</v>
      </c>
      <c r="B165">
        <v>302.98372725227762</v>
      </c>
      <c r="C165">
        <v>265.75007387561902</v>
      </c>
      <c r="D165" t="e">
        <f>NA()</f>
        <v>#N/A</v>
      </c>
      <c r="G165" t="s">
        <v>17</v>
      </c>
    </row>
    <row r="166" spans="1:7">
      <c r="A166" s="1" t="s">
        <v>307</v>
      </c>
      <c r="B166" t="e">
        <f>NA()</f>
        <v>#N/A</v>
      </c>
      <c r="C166" t="e">
        <f>NA()</f>
        <v>#N/A</v>
      </c>
      <c r="D166" t="e">
        <f>NA()</f>
        <v>#N/A</v>
      </c>
      <c r="E166" t="s">
        <v>47</v>
      </c>
      <c r="F166" t="s">
        <v>16</v>
      </c>
      <c r="G166" t="s">
        <v>17</v>
      </c>
    </row>
    <row r="167" spans="1:7">
      <c r="A167" t="s">
        <v>308</v>
      </c>
      <c r="B167">
        <v>302.19917219368671</v>
      </c>
      <c r="C167">
        <v>298.58173675043543</v>
      </c>
      <c r="D167">
        <v>307.73176048211309</v>
      </c>
    </row>
    <row r="168" spans="1:7">
      <c r="A168" t="s">
        <v>309</v>
      </c>
      <c r="B168" t="e">
        <f>NA()</f>
        <v>#N/A</v>
      </c>
      <c r="C168">
        <v>285.03562945368174</v>
      </c>
      <c r="D168">
        <v>320.488363220145</v>
      </c>
      <c r="E168" t="s">
        <v>91</v>
      </c>
    </row>
    <row r="169" spans="1:7">
      <c r="A169" t="s">
        <v>310</v>
      </c>
      <c r="B169">
        <v>300.30781551089865</v>
      </c>
      <c r="C169">
        <v>295.0577821490042</v>
      </c>
      <c r="D169">
        <v>297.72981019724602</v>
      </c>
    </row>
    <row r="170" spans="1:7">
      <c r="A170" t="s">
        <v>311</v>
      </c>
      <c r="B170">
        <v>311.21418418493306</v>
      </c>
      <c r="C170">
        <v>301.39394700489765</v>
      </c>
      <c r="D170">
        <v>299.09484454939002</v>
      </c>
    </row>
    <row r="171" spans="1:7">
      <c r="A171" s="1" t="s">
        <v>1013</v>
      </c>
      <c r="B171">
        <v>311.38456512034338</v>
      </c>
      <c r="C171">
        <v>270.81243731193581</v>
      </c>
      <c r="D171">
        <v>282.24808120821984</v>
      </c>
    </row>
    <row r="172" spans="1:7">
      <c r="A172" s="1" t="s">
        <v>1014</v>
      </c>
      <c r="B172">
        <v>286.36021100226077</v>
      </c>
      <c r="C172">
        <v>261.75472612699951</v>
      </c>
      <c r="D172">
        <v>287.4595759971254</v>
      </c>
    </row>
    <row r="173" spans="1:7">
      <c r="A173" s="1" t="s">
        <v>1015</v>
      </c>
      <c r="B173">
        <v>291.72201197964961</v>
      </c>
      <c r="C173">
        <v>271.42498115104297</v>
      </c>
      <c r="D173">
        <v>293.92968198553962</v>
      </c>
    </row>
    <row r="174" spans="1:7">
      <c r="A174" s="1" t="s">
        <v>1016</v>
      </c>
      <c r="B174" t="e">
        <f>NA()</f>
        <v>#N/A</v>
      </c>
      <c r="C174">
        <v>270.27027027027026</v>
      </c>
      <c r="D174" t="e">
        <f>NA()</f>
        <v>#N/A</v>
      </c>
      <c r="E174" t="s">
        <v>92</v>
      </c>
      <c r="G174" t="s">
        <v>93</v>
      </c>
    </row>
    <row r="175" spans="1:7">
      <c r="A175" s="1"/>
    </row>
    <row r="176" spans="1:7">
      <c r="A176" s="4" t="s">
        <v>18</v>
      </c>
      <c r="B176">
        <v>8</v>
      </c>
    </row>
    <row r="177" spans="1:7">
      <c r="A177" s="4" t="s">
        <v>191</v>
      </c>
      <c r="B177">
        <v>2</v>
      </c>
    </row>
    <row r="178" spans="1:7">
      <c r="A178" s="4" t="s">
        <v>192</v>
      </c>
      <c r="B178">
        <v>6</v>
      </c>
    </row>
    <row r="179" spans="1:7">
      <c r="A179" s="6" t="s">
        <v>193</v>
      </c>
      <c r="B179">
        <v>25</v>
      </c>
    </row>
    <row r="180" spans="1:7">
      <c r="A180" s="1"/>
    </row>
    <row r="181" spans="1:7">
      <c r="A181" s="4" t="s">
        <v>19</v>
      </c>
      <c r="B181">
        <v>-12.010946744883547</v>
      </c>
    </row>
    <row r="182" spans="1:7">
      <c r="A182" s="1" t="s">
        <v>20</v>
      </c>
      <c r="B182">
        <v>224.24774693476201</v>
      </c>
    </row>
    <row r="183" spans="1:7">
      <c r="A183" s="1" t="s">
        <v>23</v>
      </c>
      <c r="B183">
        <v>14.974903904024293</v>
      </c>
    </row>
    <row r="184" spans="1:7">
      <c r="A184" s="1" t="s">
        <v>24</v>
      </c>
      <c r="B184">
        <v>5.2944280490762408</v>
      </c>
    </row>
    <row r="185" spans="1:7">
      <c r="A185" s="1" t="s">
        <v>21</v>
      </c>
      <c r="B185">
        <v>-2.2686013736609736</v>
      </c>
    </row>
    <row r="186" spans="1:7">
      <c r="A186" s="4" t="s">
        <v>22</v>
      </c>
      <c r="B186">
        <f>TDIST(ABS(B185),7,1)</f>
        <v>2.8798076555098584E-2</v>
      </c>
    </row>
    <row r="188" spans="1:7">
      <c r="A188" s="2" t="s">
        <v>1779</v>
      </c>
    </row>
    <row r="189" spans="1:7">
      <c r="A189" s="3" t="s">
        <v>7</v>
      </c>
      <c r="B189" s="3" t="s">
        <v>8</v>
      </c>
      <c r="C189" s="3" t="s">
        <v>9</v>
      </c>
      <c r="D189" s="3" t="s">
        <v>10</v>
      </c>
      <c r="E189" s="3" t="s">
        <v>11</v>
      </c>
      <c r="F189" s="3" t="s">
        <v>12</v>
      </c>
      <c r="G189" s="3" t="s">
        <v>13</v>
      </c>
    </row>
    <row r="190" spans="1:7">
      <c r="A190" t="s">
        <v>320</v>
      </c>
      <c r="B190" t="e">
        <f>NA()</f>
        <v>#N/A</v>
      </c>
      <c r="C190">
        <v>292.72050327384773</v>
      </c>
      <c r="D190" t="e">
        <f>NA()</f>
        <v>#N/A</v>
      </c>
      <c r="E190" t="s">
        <v>94</v>
      </c>
      <c r="G190" t="s">
        <v>80</v>
      </c>
    </row>
    <row r="191" spans="1:7">
      <c r="A191" s="1" t="s">
        <v>321</v>
      </c>
      <c r="B191" t="e">
        <f>NA()</f>
        <v>#N/A</v>
      </c>
      <c r="C191">
        <v>282.7731613543346</v>
      </c>
      <c r="D191" t="e">
        <f>NA()</f>
        <v>#N/A</v>
      </c>
      <c r="E191" t="s">
        <v>95</v>
      </c>
      <c r="G191" t="s">
        <v>55</v>
      </c>
    </row>
    <row r="192" spans="1:7">
      <c r="A192" s="1" t="s">
        <v>322</v>
      </c>
      <c r="B192">
        <v>292.89512399157684</v>
      </c>
      <c r="C192">
        <v>270.2026519889917</v>
      </c>
      <c r="D192" t="e">
        <f>NA()</f>
        <v>#N/A</v>
      </c>
      <c r="G192" t="s">
        <v>80</v>
      </c>
    </row>
    <row r="193" spans="1:7">
      <c r="A193" s="1" t="s">
        <v>323</v>
      </c>
      <c r="B193" t="e">
        <f>NA()</f>
        <v>#N/A</v>
      </c>
      <c r="C193">
        <v>260.40336992596377</v>
      </c>
      <c r="D193">
        <v>309.92497847743203</v>
      </c>
      <c r="E193" t="s">
        <v>46</v>
      </c>
    </row>
    <row r="194" spans="1:7">
      <c r="A194" s="1" t="s">
        <v>324</v>
      </c>
      <c r="B194">
        <v>331.12022483556365</v>
      </c>
      <c r="C194">
        <v>309.96309963099628</v>
      </c>
      <c r="D194">
        <v>299.85007496251876</v>
      </c>
    </row>
    <row r="195" spans="1:7">
      <c r="A195" s="1" t="s">
        <v>325</v>
      </c>
      <c r="B195">
        <v>331.35456673016228</v>
      </c>
      <c r="C195">
        <v>288.27917562270829</v>
      </c>
      <c r="D195">
        <v>304.14396147509819</v>
      </c>
    </row>
    <row r="196" spans="1:7">
      <c r="A196" s="1" t="s">
        <v>326</v>
      </c>
      <c r="B196">
        <v>312.19596093129024</v>
      </c>
      <c r="C196">
        <v>295.13034923757994</v>
      </c>
      <c r="D196">
        <v>280.78817733990149</v>
      </c>
    </row>
    <row r="197" spans="1:7">
      <c r="A197" s="1" t="s">
        <v>327</v>
      </c>
      <c r="B197">
        <v>317.42070720934294</v>
      </c>
      <c r="C197">
        <v>306.53205206179297</v>
      </c>
      <c r="D197">
        <v>283.58208955223881</v>
      </c>
    </row>
    <row r="198" spans="1:7">
      <c r="A198" s="1" t="s">
        <v>1017</v>
      </c>
      <c r="B198">
        <v>312.5</v>
      </c>
      <c r="C198">
        <v>285.68027615760025</v>
      </c>
      <c r="D198">
        <v>304.38458751056891</v>
      </c>
    </row>
    <row r="199" spans="1:7">
      <c r="A199" s="1" t="s">
        <v>1018</v>
      </c>
      <c r="B199">
        <v>287.88484606157533</v>
      </c>
      <c r="C199">
        <v>306.74846625766872</v>
      </c>
      <c r="D199">
        <v>286.18049453997742</v>
      </c>
    </row>
    <row r="200" spans="1:7">
      <c r="A200" s="1" t="s">
        <v>1019</v>
      </c>
      <c r="B200">
        <v>309.37588512109312</v>
      </c>
      <c r="C200">
        <v>274.66937945066127</v>
      </c>
      <c r="D200">
        <v>287.08133971291869</v>
      </c>
    </row>
    <row r="201" spans="1:7">
      <c r="A201" s="1" t="s">
        <v>1020</v>
      </c>
      <c r="B201">
        <v>334.59770403677561</v>
      </c>
      <c r="C201">
        <v>280.40831386053372</v>
      </c>
      <c r="D201" t="e">
        <f>NA()</f>
        <v>#N/A</v>
      </c>
      <c r="G201" t="s">
        <v>36</v>
      </c>
    </row>
    <row r="202" spans="1:7">
      <c r="A202" s="1"/>
    </row>
    <row r="203" spans="1:7">
      <c r="A203" s="4" t="s">
        <v>18</v>
      </c>
      <c r="B203">
        <v>8</v>
      </c>
    </row>
    <row r="204" spans="1:7">
      <c r="A204" s="4" t="s">
        <v>191</v>
      </c>
      <c r="B204">
        <v>4</v>
      </c>
    </row>
    <row r="205" spans="1:7">
      <c r="A205" s="4" t="s">
        <v>192</v>
      </c>
      <c r="B205">
        <v>4</v>
      </c>
    </row>
    <row r="206" spans="1:7">
      <c r="A206" s="6" t="s">
        <v>193</v>
      </c>
      <c r="B206">
        <v>50</v>
      </c>
    </row>
    <row r="208" spans="1:7">
      <c r="A208" s="3" t="s">
        <v>19</v>
      </c>
      <c r="B208">
        <v>-3.5661919032103526</v>
      </c>
    </row>
    <row r="209" spans="1:7">
      <c r="A209" t="s">
        <v>20</v>
      </c>
      <c r="B209">
        <v>623.42296704871319</v>
      </c>
    </row>
    <row r="210" spans="1:7">
      <c r="A210" s="1" t="s">
        <v>23</v>
      </c>
      <c r="B210">
        <v>24.968439419569521</v>
      </c>
    </row>
    <row r="211" spans="1:7">
      <c r="A211" s="1" t="s">
        <v>24</v>
      </c>
      <c r="B211">
        <v>8.8276764146115561</v>
      </c>
    </row>
    <row r="212" spans="1:7">
      <c r="A212" s="1" t="s">
        <v>21</v>
      </c>
      <c r="B212">
        <v>-0.4039785483423019</v>
      </c>
    </row>
    <row r="213" spans="1:7">
      <c r="A213" s="4" t="s">
        <v>22</v>
      </c>
      <c r="B213">
        <f>TDIST(ABS(B212),7,1)</f>
        <v>0.34914276488385565</v>
      </c>
    </row>
    <row r="214" spans="1:7">
      <c r="A214" s="1"/>
    </row>
    <row r="215" spans="1:7">
      <c r="A215" s="5" t="s">
        <v>1780</v>
      </c>
    </row>
    <row r="216" spans="1:7">
      <c r="A216" s="4" t="s">
        <v>7</v>
      </c>
      <c r="B216" s="3" t="s">
        <v>8</v>
      </c>
      <c r="C216" s="3" t="s">
        <v>9</v>
      </c>
      <c r="D216" s="3" t="s">
        <v>10</v>
      </c>
      <c r="E216" s="3" t="s">
        <v>11</v>
      </c>
      <c r="F216" s="3" t="s">
        <v>12</v>
      </c>
      <c r="G216" s="3" t="s">
        <v>13</v>
      </c>
    </row>
    <row r="217" spans="1:7">
      <c r="A217" s="1" t="s">
        <v>336</v>
      </c>
      <c r="B217" t="e">
        <f>NA()</f>
        <v>#N/A</v>
      </c>
      <c r="C217">
        <v>326.00642133860208</v>
      </c>
      <c r="D217" t="e">
        <f>NA()</f>
        <v>#N/A</v>
      </c>
      <c r="E217" t="s">
        <v>16</v>
      </c>
      <c r="G217" t="s">
        <v>96</v>
      </c>
    </row>
    <row r="218" spans="1:7">
      <c r="A218" t="s">
        <v>337</v>
      </c>
      <c r="B218">
        <v>318.06361272254452</v>
      </c>
      <c r="C218" t="e">
        <f>NA()</f>
        <v>#N/A</v>
      </c>
      <c r="D218" t="e">
        <f>NA()</f>
        <v>#N/A</v>
      </c>
      <c r="F218" t="s">
        <v>97</v>
      </c>
      <c r="G218" t="s">
        <v>86</v>
      </c>
    </row>
    <row r="219" spans="1:7">
      <c r="A219" t="s">
        <v>338</v>
      </c>
      <c r="B219">
        <v>296.0526315789474</v>
      </c>
      <c r="C219">
        <v>278.24294731418269</v>
      </c>
      <c r="D219">
        <v>266.30501787695727</v>
      </c>
    </row>
    <row r="220" spans="1:7">
      <c r="A220" t="s">
        <v>339</v>
      </c>
      <c r="B220" t="e">
        <f>NA()</f>
        <v>#N/A</v>
      </c>
      <c r="C220">
        <v>268.22302247609582</v>
      </c>
      <c r="D220">
        <v>258.12982411742377</v>
      </c>
      <c r="E220" t="s">
        <v>29</v>
      </c>
    </row>
    <row r="221" spans="1:7">
      <c r="A221" t="s">
        <v>340</v>
      </c>
      <c r="B221">
        <v>305.50635695805227</v>
      </c>
      <c r="C221">
        <v>288.20629503223358</v>
      </c>
      <c r="D221">
        <v>334.63295434205713</v>
      </c>
    </row>
    <row r="222" spans="1:7">
      <c r="A222" s="1" t="s">
        <v>341</v>
      </c>
      <c r="B222" t="e">
        <f>NA()</f>
        <v>#N/A</v>
      </c>
      <c r="C222">
        <v>282.1782178217822</v>
      </c>
      <c r="D222">
        <v>285.60691469372415</v>
      </c>
      <c r="E222" t="s">
        <v>94</v>
      </c>
    </row>
    <row r="223" spans="1:7">
      <c r="A223" s="1" t="s">
        <v>342</v>
      </c>
      <c r="B223">
        <v>302.89701475950187</v>
      </c>
      <c r="C223">
        <v>284.07675056067779</v>
      </c>
      <c r="D223">
        <v>353.95351226616378</v>
      </c>
    </row>
    <row r="224" spans="1:7">
      <c r="A224" s="1" t="s">
        <v>343</v>
      </c>
      <c r="B224" t="e">
        <f>NA()</f>
        <v>#N/A</v>
      </c>
      <c r="C224">
        <v>310.077519379845</v>
      </c>
      <c r="D224">
        <v>315.74990602681368</v>
      </c>
      <c r="E224" t="s">
        <v>17</v>
      </c>
    </row>
    <row r="225" spans="1:6">
      <c r="A225" s="1" t="s">
        <v>1021</v>
      </c>
      <c r="B225" t="e">
        <f>NA()</f>
        <v>#N/A</v>
      </c>
      <c r="C225" t="e">
        <f>NA()</f>
        <v>#N/A</v>
      </c>
      <c r="D225">
        <v>297.25043349021553</v>
      </c>
      <c r="E225" t="s">
        <v>98</v>
      </c>
      <c r="F225" t="s">
        <v>62</v>
      </c>
    </row>
    <row r="226" spans="1:6">
      <c r="A226" s="1" t="s">
        <v>1022</v>
      </c>
      <c r="B226" t="e">
        <f>NA()</f>
        <v>#N/A</v>
      </c>
      <c r="C226">
        <v>285.71428571428572</v>
      </c>
      <c r="D226">
        <v>281.23843591957569</v>
      </c>
      <c r="E226" t="s">
        <v>99</v>
      </c>
    </row>
    <row r="227" spans="1:6">
      <c r="A227" s="1" t="s">
        <v>1023</v>
      </c>
      <c r="B227">
        <v>347.47610205735424</v>
      </c>
      <c r="C227">
        <v>278.59237536656894</v>
      </c>
      <c r="D227">
        <v>289.6102328948956</v>
      </c>
    </row>
    <row r="228" spans="1:6">
      <c r="A228" s="1" t="s">
        <v>1024</v>
      </c>
      <c r="B228" t="e">
        <f>NA()</f>
        <v>#N/A</v>
      </c>
      <c r="C228">
        <v>278.01395149069708</v>
      </c>
      <c r="D228">
        <v>301.52371000205966</v>
      </c>
      <c r="E228" t="s">
        <v>100</v>
      </c>
    </row>
    <row r="230" spans="1:6">
      <c r="A230" s="3" t="s">
        <v>18</v>
      </c>
      <c r="B230">
        <v>9</v>
      </c>
    </row>
    <row r="231" spans="1:6">
      <c r="A231" s="3" t="s">
        <v>191</v>
      </c>
      <c r="B231">
        <v>3</v>
      </c>
    </row>
    <row r="232" spans="1:6">
      <c r="A232" s="3" t="s">
        <v>192</v>
      </c>
      <c r="B232">
        <v>6</v>
      </c>
    </row>
    <row r="233" spans="1:6">
      <c r="A233" s="6" t="s">
        <v>193</v>
      </c>
      <c r="B233">
        <v>33.333333333333336</v>
      </c>
    </row>
    <row r="234" spans="1:6">
      <c r="A234" s="1"/>
    </row>
    <row r="235" spans="1:6">
      <c r="A235" s="4" t="s">
        <v>19</v>
      </c>
      <c r="B235">
        <v>-14.825015887033544</v>
      </c>
    </row>
    <row r="236" spans="1:6">
      <c r="A236" s="1" t="s">
        <v>20</v>
      </c>
      <c r="B236">
        <v>755.32757033605833</v>
      </c>
    </row>
    <row r="237" spans="1:6">
      <c r="A237" s="1" t="s">
        <v>23</v>
      </c>
      <c r="B237">
        <v>27.483223434234535</v>
      </c>
    </row>
    <row r="238" spans="1:6">
      <c r="A238" s="1" t="s">
        <v>24</v>
      </c>
      <c r="B238">
        <v>9.161074478078179</v>
      </c>
    </row>
    <row r="239" spans="1:6">
      <c r="A239" s="1" t="s">
        <v>21</v>
      </c>
      <c r="B239">
        <v>-1.6182616921747319</v>
      </c>
    </row>
    <row r="240" spans="1:6">
      <c r="A240" s="4" t="s">
        <v>22</v>
      </c>
      <c r="B240">
        <f>TDIST(ABS(B239),8,1)</f>
        <v>7.2133536556393957E-2</v>
      </c>
    </row>
    <row r="242" spans="1:7">
      <c r="A242" s="2" t="s">
        <v>1781</v>
      </c>
    </row>
    <row r="243" spans="1:7">
      <c r="A243" s="3" t="s">
        <v>7</v>
      </c>
      <c r="B243" s="3" t="s">
        <v>8</v>
      </c>
      <c r="C243" s="3" t="s">
        <v>9</v>
      </c>
      <c r="D243" s="3" t="s">
        <v>10</v>
      </c>
      <c r="E243" s="3" t="s">
        <v>11</v>
      </c>
      <c r="F243" s="3" t="s">
        <v>12</v>
      </c>
      <c r="G243" s="3" t="s">
        <v>13</v>
      </c>
    </row>
    <row r="244" spans="1:7">
      <c r="A244" t="s">
        <v>352</v>
      </c>
      <c r="B244" t="e">
        <f>NA()</f>
        <v>#N/A</v>
      </c>
      <c r="C244">
        <v>261.72300981461285</v>
      </c>
      <c r="D244">
        <v>261.63909195844553</v>
      </c>
      <c r="E244" t="s">
        <v>43</v>
      </c>
    </row>
    <row r="245" spans="1:7">
      <c r="A245" s="1" t="s">
        <v>353</v>
      </c>
      <c r="B245" t="e">
        <f>NA()</f>
        <v>#N/A</v>
      </c>
      <c r="C245">
        <v>264.96565260058884</v>
      </c>
      <c r="D245">
        <v>263.70217166494308</v>
      </c>
      <c r="E245" t="s">
        <v>101</v>
      </c>
    </row>
    <row r="246" spans="1:7">
      <c r="A246" s="1" t="s">
        <v>354</v>
      </c>
      <c r="B246" t="e">
        <f>NA()</f>
        <v>#N/A</v>
      </c>
      <c r="C246">
        <v>306.08340772860601</v>
      </c>
      <c r="D246" t="e">
        <f>NA()</f>
        <v>#N/A</v>
      </c>
      <c r="E246" t="s">
        <v>102</v>
      </c>
      <c r="G246" t="s">
        <v>103</v>
      </c>
    </row>
    <row r="247" spans="1:7">
      <c r="A247" s="1" t="s">
        <v>355</v>
      </c>
      <c r="B247">
        <v>312.0858236014904</v>
      </c>
      <c r="C247">
        <v>280.46914839367668</v>
      </c>
      <c r="D247">
        <v>330.90317237128488</v>
      </c>
    </row>
    <row r="248" spans="1:7">
      <c r="A248" s="1" t="s">
        <v>356</v>
      </c>
      <c r="B248">
        <v>297.37915842699442</v>
      </c>
      <c r="C248">
        <v>308.0872913992298</v>
      </c>
      <c r="D248">
        <v>360.91084640435588</v>
      </c>
    </row>
    <row r="249" spans="1:7">
      <c r="A249" s="1" t="s">
        <v>357</v>
      </c>
      <c r="B249">
        <v>325.20948771709806</v>
      </c>
      <c r="C249">
        <v>289.67094397154108</v>
      </c>
      <c r="D249">
        <v>322.95271049596312</v>
      </c>
    </row>
    <row r="250" spans="1:7">
      <c r="A250" s="1" t="s">
        <v>358</v>
      </c>
      <c r="B250">
        <v>317.98674783410087</v>
      </c>
      <c r="C250">
        <v>287.11568369422179</v>
      </c>
      <c r="D250">
        <v>310.7600673313479</v>
      </c>
    </row>
    <row r="251" spans="1:7">
      <c r="A251" s="1" t="s">
        <v>359</v>
      </c>
      <c r="B251" t="e">
        <f>NA()</f>
        <v>#N/A</v>
      </c>
      <c r="C251" t="e">
        <f>NA()</f>
        <v>#N/A</v>
      </c>
      <c r="D251">
        <v>298.2254738530508</v>
      </c>
      <c r="E251" t="s">
        <v>29</v>
      </c>
      <c r="F251" t="s">
        <v>17</v>
      </c>
    </row>
    <row r="252" spans="1:7">
      <c r="A252" s="1" t="s">
        <v>1025</v>
      </c>
      <c r="B252">
        <v>310.78018776303009</v>
      </c>
      <c r="C252">
        <v>284.82198625858842</v>
      </c>
      <c r="D252">
        <v>280.40831386053372</v>
      </c>
    </row>
    <row r="253" spans="1:7">
      <c r="A253" s="1" t="s">
        <v>1026</v>
      </c>
      <c r="B253" t="e">
        <f>NA()</f>
        <v>#N/A</v>
      </c>
      <c r="C253">
        <v>280.37848770977735</v>
      </c>
      <c r="D253">
        <v>306.28570269495924</v>
      </c>
      <c r="E253" t="s">
        <v>104</v>
      </c>
    </row>
    <row r="254" spans="1:7">
      <c r="A254" s="1" t="s">
        <v>1027</v>
      </c>
      <c r="B254">
        <v>334.65183780240596</v>
      </c>
      <c r="C254">
        <v>274.32054864109728</v>
      </c>
      <c r="D254">
        <v>288.82695718267041</v>
      </c>
    </row>
    <row r="255" spans="1:7">
      <c r="A255" t="s">
        <v>1028</v>
      </c>
      <c r="B255">
        <v>308.72215006494156</v>
      </c>
      <c r="C255">
        <v>278.52998065764024</v>
      </c>
      <c r="D255">
        <v>298.09961495466405</v>
      </c>
    </row>
    <row r="257" spans="1:7">
      <c r="A257" s="3" t="s">
        <v>18</v>
      </c>
      <c r="B257">
        <v>10</v>
      </c>
    </row>
    <row r="258" spans="1:7">
      <c r="A258" s="3" t="s">
        <v>191</v>
      </c>
      <c r="B258">
        <v>3</v>
      </c>
    </row>
    <row r="259" spans="1:7">
      <c r="A259" s="4" t="s">
        <v>192</v>
      </c>
      <c r="B259">
        <v>7</v>
      </c>
    </row>
    <row r="260" spans="1:7">
      <c r="A260" s="6" t="s">
        <v>193</v>
      </c>
      <c r="B260">
        <v>30</v>
      </c>
    </row>
    <row r="261" spans="1:7">
      <c r="A261" s="1"/>
    </row>
    <row r="262" spans="1:7">
      <c r="A262" s="4" t="s">
        <v>19</v>
      </c>
      <c r="B262">
        <v>-21.440591577819351</v>
      </c>
    </row>
    <row r="263" spans="1:7">
      <c r="A263" s="1" t="s">
        <v>20</v>
      </c>
      <c r="B263">
        <v>409.92623559467552</v>
      </c>
    </row>
    <row r="264" spans="1:7">
      <c r="A264" s="1" t="s">
        <v>23</v>
      </c>
      <c r="B264">
        <v>20.246635167224095</v>
      </c>
    </row>
    <row r="265" spans="1:7">
      <c r="A265" s="1" t="s">
        <v>24</v>
      </c>
      <c r="B265">
        <v>6.4025482082892244</v>
      </c>
    </row>
    <row r="266" spans="1:7">
      <c r="A266" s="1" t="s">
        <v>21</v>
      </c>
      <c r="B266">
        <v>-3.3487591003314487</v>
      </c>
    </row>
    <row r="267" spans="1:7">
      <c r="A267" s="4" t="s">
        <v>22</v>
      </c>
      <c r="B267">
        <f>TDIST(ABS(B266),9,1)</f>
        <v>4.2701875442304384E-3</v>
      </c>
    </row>
    <row r="268" spans="1:7">
      <c r="A268" s="1"/>
    </row>
    <row r="269" spans="1:7">
      <c r="A269" s="5" t="s">
        <v>1782</v>
      </c>
    </row>
    <row r="270" spans="1:7">
      <c r="A270" s="4" t="s">
        <v>7</v>
      </c>
      <c r="B270" s="3" t="s">
        <v>8</v>
      </c>
      <c r="C270" s="3" t="s">
        <v>9</v>
      </c>
      <c r="D270" s="3" t="s">
        <v>10</v>
      </c>
      <c r="E270" s="3" t="s">
        <v>11</v>
      </c>
      <c r="F270" s="3" t="s">
        <v>12</v>
      </c>
      <c r="G270" s="3" t="s">
        <v>13</v>
      </c>
    </row>
    <row r="271" spans="1:7">
      <c r="A271" s="1" t="s">
        <v>368</v>
      </c>
      <c r="B271" t="e">
        <f>NA()</f>
        <v>#N/A</v>
      </c>
      <c r="C271">
        <v>292.61155815654723</v>
      </c>
      <c r="D271">
        <v>284.53762635716959</v>
      </c>
      <c r="E271" t="s">
        <v>105</v>
      </c>
    </row>
    <row r="272" spans="1:7">
      <c r="A272" s="1" t="s">
        <v>369</v>
      </c>
      <c r="B272">
        <v>294.55228553537881</v>
      </c>
      <c r="C272">
        <v>271.46088820097634</v>
      </c>
      <c r="D272">
        <v>276.21483375959082</v>
      </c>
    </row>
    <row r="273" spans="1:7">
      <c r="A273" s="1" t="s">
        <v>370</v>
      </c>
      <c r="B273">
        <v>317.20698254364089</v>
      </c>
      <c r="C273">
        <v>289.92510268180723</v>
      </c>
      <c r="D273">
        <v>316.98113207547169</v>
      </c>
    </row>
    <row r="274" spans="1:7">
      <c r="A274" t="s">
        <v>371</v>
      </c>
      <c r="B274">
        <v>316.87749918265729</v>
      </c>
      <c r="C274" t="e">
        <f>NA()</f>
        <v>#N/A</v>
      </c>
      <c r="D274">
        <v>319.5536393608927</v>
      </c>
      <c r="F274" t="s">
        <v>106</v>
      </c>
    </row>
    <row r="275" spans="1:7">
      <c r="A275" t="s">
        <v>372</v>
      </c>
      <c r="B275" t="e">
        <f>NA()</f>
        <v>#N/A</v>
      </c>
      <c r="C275">
        <v>294.51466437599703</v>
      </c>
      <c r="D275">
        <v>292.20839531151989</v>
      </c>
      <c r="E275" t="s">
        <v>107</v>
      </c>
    </row>
    <row r="276" spans="1:7">
      <c r="A276" t="s">
        <v>373</v>
      </c>
      <c r="B276">
        <v>310.76431072022888</v>
      </c>
      <c r="C276">
        <v>276.59832585223825</v>
      </c>
      <c r="D276">
        <v>284.86597477040118</v>
      </c>
    </row>
    <row r="277" spans="1:7">
      <c r="A277" t="s">
        <v>374</v>
      </c>
      <c r="B277">
        <v>299.94486212467461</v>
      </c>
      <c r="C277">
        <v>288.13345128269935</v>
      </c>
      <c r="D277" t="e">
        <f>NA()</f>
        <v>#N/A</v>
      </c>
      <c r="G277" t="s">
        <v>108</v>
      </c>
    </row>
    <row r="278" spans="1:7">
      <c r="A278" s="1" t="s">
        <v>375</v>
      </c>
      <c r="B278" t="e">
        <f>NA()</f>
        <v>#N/A</v>
      </c>
      <c r="C278">
        <v>308.74785591766721</v>
      </c>
      <c r="D278">
        <v>327.86885245901635</v>
      </c>
      <c r="E278" t="s">
        <v>49</v>
      </c>
    </row>
    <row r="279" spans="1:7">
      <c r="A279" s="1" t="s">
        <v>1029</v>
      </c>
      <c r="B279">
        <v>292.83524480791112</v>
      </c>
      <c r="C279">
        <v>275.01909854851033</v>
      </c>
      <c r="D279" t="e">
        <f>NA()</f>
        <v>#N/A</v>
      </c>
      <c r="G279" t="s">
        <v>86</v>
      </c>
    </row>
    <row r="280" spans="1:7">
      <c r="A280" s="1" t="s">
        <v>1030</v>
      </c>
      <c r="B280">
        <v>315.39796677411357</v>
      </c>
      <c r="C280">
        <v>274.00552818170894</v>
      </c>
      <c r="D280" t="e">
        <f>NA()</f>
        <v>#N/A</v>
      </c>
      <c r="G280" t="s">
        <v>17</v>
      </c>
    </row>
    <row r="281" spans="1:7">
      <c r="A281" s="1" t="s">
        <v>1031</v>
      </c>
      <c r="B281" t="e">
        <f>NA()</f>
        <v>#N/A</v>
      </c>
      <c r="C281">
        <v>273.10658743203948</v>
      </c>
      <c r="D281" t="e">
        <f>NA()</f>
        <v>#N/A</v>
      </c>
      <c r="E281" t="s">
        <v>53</v>
      </c>
      <c r="G281" t="s">
        <v>17</v>
      </c>
    </row>
    <row r="282" spans="1:7">
      <c r="A282" s="1" t="s">
        <v>1032</v>
      </c>
      <c r="B282" t="e">
        <f>NA()</f>
        <v>#N/A</v>
      </c>
      <c r="C282">
        <v>289.19330289193306</v>
      </c>
      <c r="D282">
        <v>286.21641978408235</v>
      </c>
      <c r="E282" t="s">
        <v>85</v>
      </c>
    </row>
    <row r="283" spans="1:7">
      <c r="A283" s="1"/>
    </row>
    <row r="284" spans="1:7">
      <c r="A284" s="4" t="s">
        <v>18</v>
      </c>
      <c r="B284">
        <v>7</v>
      </c>
    </row>
    <row r="285" spans="1:7">
      <c r="A285" s="4" t="s">
        <v>191</v>
      </c>
      <c r="B285">
        <v>3</v>
      </c>
    </row>
    <row r="286" spans="1:7">
      <c r="A286" s="4" t="s">
        <v>192</v>
      </c>
      <c r="B286">
        <v>4</v>
      </c>
    </row>
    <row r="287" spans="1:7">
      <c r="A287" s="6" t="s">
        <v>193</v>
      </c>
      <c r="B287">
        <v>42.857142857142854</v>
      </c>
    </row>
    <row r="288" spans="1:7">
      <c r="A288" s="1"/>
    </row>
    <row r="289" spans="1:7">
      <c r="A289" s="4" t="s">
        <v>19</v>
      </c>
      <c r="B289">
        <v>-6.548790920012217</v>
      </c>
    </row>
    <row r="290" spans="1:7">
      <c r="A290" s="1" t="s">
        <v>20</v>
      </c>
      <c r="B290">
        <v>161.29294990528729</v>
      </c>
    </row>
    <row r="291" spans="1:7">
      <c r="A291" s="1" t="s">
        <v>23</v>
      </c>
      <c r="B291">
        <v>12.700116137472417</v>
      </c>
    </row>
    <row r="292" spans="1:7">
      <c r="A292" s="1" t="s">
        <v>24</v>
      </c>
      <c r="B292">
        <v>4.8001927030557443</v>
      </c>
    </row>
    <row r="293" spans="1:7">
      <c r="A293" s="1" t="s">
        <v>21</v>
      </c>
      <c r="B293">
        <v>-1.3642766707768494</v>
      </c>
    </row>
    <row r="294" spans="1:7">
      <c r="A294" s="3" t="s">
        <v>22</v>
      </c>
      <c r="B294">
        <f>TDIST(ABS(B293),6,1)</f>
        <v>0.11071736446003411</v>
      </c>
    </row>
    <row r="296" spans="1:7">
      <c r="A296" s="2" t="s">
        <v>1783</v>
      </c>
    </row>
    <row r="297" spans="1:7">
      <c r="A297" s="3" t="s">
        <v>7</v>
      </c>
      <c r="B297" s="3" t="s">
        <v>8</v>
      </c>
      <c r="C297" s="3" t="s">
        <v>9</v>
      </c>
      <c r="D297" s="3" t="s">
        <v>10</v>
      </c>
      <c r="E297" s="3" t="s">
        <v>11</v>
      </c>
      <c r="F297" s="3" t="s">
        <v>12</v>
      </c>
      <c r="G297" s="3" t="s">
        <v>13</v>
      </c>
    </row>
    <row r="298" spans="1:7">
      <c r="A298" s="1" t="s">
        <v>384</v>
      </c>
      <c r="B298">
        <v>316.05478985837243</v>
      </c>
      <c r="C298">
        <v>274.66570292735815</v>
      </c>
      <c r="D298" t="e">
        <f>NA()</f>
        <v>#N/A</v>
      </c>
      <c r="G298" t="s">
        <v>36</v>
      </c>
    </row>
    <row r="299" spans="1:7">
      <c r="A299" s="1" t="s">
        <v>385</v>
      </c>
      <c r="B299">
        <v>311.73502522855574</v>
      </c>
      <c r="C299">
        <v>284.71528471528467</v>
      </c>
      <c r="D299">
        <v>284.71528471528467</v>
      </c>
    </row>
    <row r="300" spans="1:7">
      <c r="A300" s="1" t="s">
        <v>386</v>
      </c>
      <c r="B300">
        <v>331.76120913422022</v>
      </c>
      <c r="C300">
        <v>301.01592875956356</v>
      </c>
      <c r="D300">
        <v>279.79274611398961</v>
      </c>
    </row>
    <row r="301" spans="1:7">
      <c r="A301" s="1" t="s">
        <v>387</v>
      </c>
      <c r="B301" t="e">
        <f>NA()</f>
        <v>#N/A</v>
      </c>
      <c r="C301" t="e">
        <f>NA()</f>
        <v>#N/A</v>
      </c>
      <c r="D301">
        <v>330.28404702651676</v>
      </c>
      <c r="E301" t="s">
        <v>109</v>
      </c>
      <c r="F301" t="s">
        <v>43</v>
      </c>
    </row>
    <row r="302" spans="1:7">
      <c r="A302" s="1" t="s">
        <v>388</v>
      </c>
      <c r="B302">
        <v>324.63303441711338</v>
      </c>
      <c r="C302">
        <v>338.30898757924888</v>
      </c>
      <c r="D302">
        <v>353.26493419305001</v>
      </c>
    </row>
    <row r="303" spans="1:7">
      <c r="A303" s="1" t="s">
        <v>389</v>
      </c>
      <c r="B303">
        <v>321.22801855893658</v>
      </c>
      <c r="C303">
        <v>278.58046803514043</v>
      </c>
      <c r="D303">
        <v>331.14323258869911</v>
      </c>
    </row>
    <row r="304" spans="1:7">
      <c r="A304" t="s">
        <v>390</v>
      </c>
      <c r="B304" t="e">
        <f>NA()</f>
        <v>#N/A</v>
      </c>
      <c r="C304">
        <v>304.83932427283116</v>
      </c>
      <c r="D304" t="e">
        <f>NA()</f>
        <v>#N/A</v>
      </c>
      <c r="E304" t="s">
        <v>17</v>
      </c>
      <c r="G304" t="s">
        <v>97</v>
      </c>
    </row>
    <row r="305" spans="1:7">
      <c r="A305" t="s">
        <v>391</v>
      </c>
      <c r="B305" t="e">
        <f>NA()</f>
        <v>#N/A</v>
      </c>
      <c r="C305">
        <v>286.61219358893777</v>
      </c>
      <c r="D305">
        <v>325.3635691397584</v>
      </c>
      <c r="E305" t="s">
        <v>110</v>
      </c>
    </row>
    <row r="306" spans="1:7">
      <c r="A306" t="s">
        <v>1033</v>
      </c>
      <c r="B306">
        <v>286.20923401370788</v>
      </c>
      <c r="C306">
        <v>268.65671641791045</v>
      </c>
      <c r="D306" t="e">
        <f>NA()</f>
        <v>#N/A</v>
      </c>
      <c r="G306" t="s">
        <v>42</v>
      </c>
    </row>
    <row r="307" spans="1:7">
      <c r="A307" t="s">
        <v>1034</v>
      </c>
      <c r="B307">
        <v>305.61034680782006</v>
      </c>
      <c r="C307">
        <v>273.79896057802</v>
      </c>
      <c r="D307">
        <v>278.81760681554152</v>
      </c>
    </row>
    <row r="308" spans="1:7">
      <c r="A308" s="1" t="s">
        <v>1035</v>
      </c>
      <c r="B308">
        <v>294.02205165387403</v>
      </c>
      <c r="C308">
        <v>259.0147282884713</v>
      </c>
      <c r="D308">
        <v>288.57106695355014</v>
      </c>
    </row>
    <row r="309" spans="1:7">
      <c r="A309" s="1" t="s">
        <v>1036</v>
      </c>
      <c r="B309" t="e">
        <f>NA()</f>
        <v>#N/A</v>
      </c>
      <c r="C309">
        <v>311.99702859972763</v>
      </c>
      <c r="D309">
        <v>286.8754482428879</v>
      </c>
      <c r="E309" t="s">
        <v>15</v>
      </c>
    </row>
    <row r="310" spans="1:7">
      <c r="A310" s="1"/>
    </row>
    <row r="311" spans="1:7">
      <c r="A311" s="4" t="s">
        <v>18</v>
      </c>
      <c r="B311">
        <v>8</v>
      </c>
    </row>
    <row r="312" spans="1:7">
      <c r="A312" s="3" t="s">
        <v>191</v>
      </c>
      <c r="B312">
        <v>2</v>
      </c>
    </row>
    <row r="313" spans="1:7">
      <c r="A313" s="3" t="s">
        <v>192</v>
      </c>
      <c r="B313">
        <v>6</v>
      </c>
    </row>
    <row r="314" spans="1:7">
      <c r="A314" s="6" t="s">
        <v>193</v>
      </c>
      <c r="B314">
        <v>25</v>
      </c>
    </row>
    <row r="316" spans="1:7">
      <c r="A316" s="4" t="s">
        <v>19</v>
      </c>
      <c r="B316">
        <v>-11.812538577295889</v>
      </c>
    </row>
    <row r="317" spans="1:7">
      <c r="A317" s="1" t="s">
        <v>20</v>
      </c>
      <c r="B317">
        <v>764.59805273748498</v>
      </c>
    </row>
    <row r="318" spans="1:7">
      <c r="A318" s="1" t="s">
        <v>23</v>
      </c>
      <c r="B318">
        <v>27.651366200198588</v>
      </c>
    </row>
    <row r="319" spans="1:7">
      <c r="A319" s="1" t="s">
        <v>24</v>
      </c>
      <c r="B319">
        <v>9.7762342746164599</v>
      </c>
    </row>
    <row r="320" spans="1:7">
      <c r="A320" s="1" t="s">
        <v>21</v>
      </c>
      <c r="B320">
        <v>-1.2082912750941945</v>
      </c>
    </row>
    <row r="321" spans="1:7">
      <c r="A321" s="4" t="s">
        <v>22</v>
      </c>
      <c r="B321">
        <f>TDIST(ABS(B320),7,1)</f>
        <v>0.13308266926241619</v>
      </c>
    </row>
    <row r="322" spans="1:7">
      <c r="A322" s="1"/>
    </row>
    <row r="323" spans="1:7">
      <c r="A323" s="5" t="s">
        <v>1756</v>
      </c>
    </row>
    <row r="324" spans="1:7">
      <c r="A324" s="4" t="s">
        <v>7</v>
      </c>
      <c r="B324" s="3" t="s">
        <v>8</v>
      </c>
      <c r="C324" s="3" t="s">
        <v>9</v>
      </c>
      <c r="D324" s="3" t="s">
        <v>10</v>
      </c>
      <c r="E324" s="3" t="s">
        <v>11</v>
      </c>
      <c r="F324" s="3" t="s">
        <v>12</v>
      </c>
      <c r="G324" s="3" t="s">
        <v>13</v>
      </c>
    </row>
    <row r="325" spans="1:7">
      <c r="A325" s="1" t="s">
        <v>178</v>
      </c>
      <c r="B325">
        <v>335.68110295219543</v>
      </c>
      <c r="C325">
        <v>337.03748931493465</v>
      </c>
      <c r="D325" t="e">
        <f>NA()</f>
        <v>#N/A</v>
      </c>
      <c r="G325" t="s">
        <v>80</v>
      </c>
    </row>
    <row r="326" spans="1:7">
      <c r="A326" s="1" t="s">
        <v>179</v>
      </c>
      <c r="B326">
        <v>372.55883825738613</v>
      </c>
      <c r="C326">
        <v>354.57348406988694</v>
      </c>
      <c r="D326">
        <v>332.66129032258061</v>
      </c>
    </row>
    <row r="327" spans="1:7">
      <c r="A327" s="1" t="s">
        <v>180</v>
      </c>
      <c r="B327" t="e">
        <f>NA()</f>
        <v>#N/A</v>
      </c>
      <c r="C327">
        <v>312.5</v>
      </c>
      <c r="D327" t="e">
        <f>NA()</f>
        <v>#N/A</v>
      </c>
      <c r="E327" t="s">
        <v>17</v>
      </c>
      <c r="G327" t="s">
        <v>17</v>
      </c>
    </row>
    <row r="328" spans="1:7">
      <c r="A328" s="1"/>
    </row>
    <row r="329" spans="1:7">
      <c r="A329" s="4" t="s">
        <v>18</v>
      </c>
      <c r="B329">
        <v>1</v>
      </c>
    </row>
    <row r="330" spans="1:7">
      <c r="A330" s="4" t="s">
        <v>191</v>
      </c>
      <c r="B330">
        <v>1</v>
      </c>
    </row>
    <row r="331" spans="1:7">
      <c r="A331" s="4" t="s">
        <v>192</v>
      </c>
      <c r="B331">
        <v>0</v>
      </c>
    </row>
    <row r="332" spans="1:7">
      <c r="A332" s="6" t="s">
        <v>193</v>
      </c>
      <c r="B332">
        <v>100</v>
      </c>
    </row>
    <row r="334" spans="1:7">
      <c r="A334" s="3" t="s">
        <v>19</v>
      </c>
      <c r="B334">
        <v>21.912193747306333</v>
      </c>
    </row>
    <row r="335" spans="1:7">
      <c r="A335" t="s">
        <v>41</v>
      </c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C1:D1048576 B1:B16 B18:B23 B25:B43 B45:B50 B52:B70 B72:B77 B79:B97 B99:B104 B106:B124 B126:B131 B133:B151 B153:B158 B160:B178 B180:B185 B187:B205 B207:B212 B214:B232 B234:B239 B241:B259 B261:B266 B268:B286 B288:B293 B295:B313 B315:B320 B322:B331 B333:B1048576">
    <cfRule type="containsErrors" dxfId="645" priority="1">
      <formula>ISERROR(B1)</formula>
    </cfRule>
  </conditionalFormatting>
  <conditionalFormatting sqref="B17">
    <cfRule type="cellIs" dxfId="644" priority="2" stopIfTrue="1" operator="notBetween">
      <formula>15</formula>
      <formula>85</formula>
    </cfRule>
    <cfRule type="cellIs" dxfId="643" priority="3" stopIfTrue="1" operator="notBetween">
      <formula>25</formula>
      <formula>75</formula>
    </cfRule>
  </conditionalFormatting>
  <conditionalFormatting sqref="B24">
    <cfRule type="cellIs" dxfId="642" priority="4" stopIfTrue="1" operator="lessThanOrEqual">
      <formula>0.05</formula>
    </cfRule>
    <cfRule type="cellIs" dxfId="641" priority="5" stopIfTrue="1" operator="lessThanOrEqual">
      <formula>0.1</formula>
    </cfRule>
  </conditionalFormatting>
  <conditionalFormatting sqref="B44">
    <cfRule type="cellIs" dxfId="640" priority="6" stopIfTrue="1" operator="notBetween">
      <formula>15</formula>
      <formula>85</formula>
    </cfRule>
    <cfRule type="cellIs" dxfId="639" priority="7" stopIfTrue="1" operator="notBetween">
      <formula>25</formula>
      <formula>75</formula>
    </cfRule>
  </conditionalFormatting>
  <conditionalFormatting sqref="B51">
    <cfRule type="cellIs" dxfId="638" priority="8" stopIfTrue="1" operator="lessThanOrEqual">
      <formula>0.05</formula>
    </cfRule>
    <cfRule type="cellIs" dxfId="637" priority="9" stopIfTrue="1" operator="lessThanOrEqual">
      <formula>0.1</formula>
    </cfRule>
  </conditionalFormatting>
  <conditionalFormatting sqref="B71">
    <cfRule type="cellIs" dxfId="636" priority="10" stopIfTrue="1" operator="notBetween">
      <formula>15</formula>
      <formula>85</formula>
    </cfRule>
    <cfRule type="cellIs" dxfId="635" priority="11" stopIfTrue="1" operator="notBetween">
      <formula>25</formula>
      <formula>75</formula>
    </cfRule>
  </conditionalFormatting>
  <conditionalFormatting sqref="B78">
    <cfRule type="cellIs" dxfId="634" priority="12" stopIfTrue="1" operator="lessThanOrEqual">
      <formula>0.05</formula>
    </cfRule>
    <cfRule type="cellIs" dxfId="633" priority="13" stopIfTrue="1" operator="lessThanOrEqual">
      <formula>0.1</formula>
    </cfRule>
  </conditionalFormatting>
  <conditionalFormatting sqref="B98">
    <cfRule type="cellIs" dxfId="632" priority="14" stopIfTrue="1" operator="notBetween">
      <formula>15</formula>
      <formula>85</formula>
    </cfRule>
    <cfRule type="cellIs" dxfId="631" priority="15" stopIfTrue="1" operator="notBetween">
      <formula>25</formula>
      <formula>75</formula>
    </cfRule>
  </conditionalFormatting>
  <conditionalFormatting sqref="B105">
    <cfRule type="cellIs" dxfId="630" priority="16" stopIfTrue="1" operator="lessThanOrEqual">
      <formula>0.05</formula>
    </cfRule>
    <cfRule type="cellIs" dxfId="629" priority="17" stopIfTrue="1" operator="lessThanOrEqual">
      <formula>0.1</formula>
    </cfRule>
  </conditionalFormatting>
  <conditionalFormatting sqref="B125">
    <cfRule type="cellIs" dxfId="628" priority="18" stopIfTrue="1" operator="notBetween">
      <formula>15</formula>
      <formula>85</formula>
    </cfRule>
    <cfRule type="cellIs" dxfId="627" priority="19" stopIfTrue="1" operator="notBetween">
      <formula>25</formula>
      <formula>75</formula>
    </cfRule>
  </conditionalFormatting>
  <conditionalFormatting sqref="B132">
    <cfRule type="cellIs" dxfId="626" priority="20" stopIfTrue="1" operator="lessThanOrEqual">
      <formula>0.05</formula>
    </cfRule>
    <cfRule type="cellIs" dxfId="625" priority="21" stopIfTrue="1" operator="lessThanOrEqual">
      <formula>0.1</formula>
    </cfRule>
  </conditionalFormatting>
  <conditionalFormatting sqref="B152">
    <cfRule type="cellIs" dxfId="624" priority="22" stopIfTrue="1" operator="notBetween">
      <formula>15</formula>
      <formula>85</formula>
    </cfRule>
    <cfRule type="cellIs" dxfId="623" priority="23" stopIfTrue="1" operator="notBetween">
      <formula>25</formula>
      <formula>75</formula>
    </cfRule>
  </conditionalFormatting>
  <conditionalFormatting sqref="B159">
    <cfRule type="cellIs" dxfId="622" priority="24" stopIfTrue="1" operator="lessThanOrEqual">
      <formula>0.05</formula>
    </cfRule>
    <cfRule type="cellIs" dxfId="621" priority="25" stopIfTrue="1" operator="lessThanOrEqual">
      <formula>0.1</formula>
    </cfRule>
  </conditionalFormatting>
  <conditionalFormatting sqref="B179">
    <cfRule type="cellIs" dxfId="620" priority="26" stopIfTrue="1" operator="notBetween">
      <formula>15</formula>
      <formula>85</formula>
    </cfRule>
    <cfRule type="cellIs" dxfId="619" priority="27" stopIfTrue="1" operator="notBetween">
      <formula>25</formula>
      <formula>75</formula>
    </cfRule>
  </conditionalFormatting>
  <conditionalFormatting sqref="B186">
    <cfRule type="cellIs" dxfId="618" priority="28" stopIfTrue="1" operator="lessThanOrEqual">
      <formula>0.05</formula>
    </cfRule>
    <cfRule type="cellIs" dxfId="617" priority="29" stopIfTrue="1" operator="lessThanOrEqual">
      <formula>0.1</formula>
    </cfRule>
  </conditionalFormatting>
  <conditionalFormatting sqref="B206">
    <cfRule type="cellIs" dxfId="616" priority="30" stopIfTrue="1" operator="notBetween">
      <formula>15</formula>
      <formula>85</formula>
    </cfRule>
    <cfRule type="cellIs" dxfId="615" priority="31" stopIfTrue="1" operator="notBetween">
      <formula>25</formula>
      <formula>75</formula>
    </cfRule>
  </conditionalFormatting>
  <conditionalFormatting sqref="B213">
    <cfRule type="cellIs" dxfId="614" priority="32" stopIfTrue="1" operator="lessThanOrEqual">
      <formula>0.05</formula>
    </cfRule>
    <cfRule type="cellIs" dxfId="613" priority="33" stopIfTrue="1" operator="lessThanOrEqual">
      <formula>0.1</formula>
    </cfRule>
  </conditionalFormatting>
  <conditionalFormatting sqref="B233">
    <cfRule type="cellIs" dxfId="612" priority="34" stopIfTrue="1" operator="notBetween">
      <formula>15</formula>
      <formula>85</formula>
    </cfRule>
    <cfRule type="cellIs" dxfId="611" priority="35" stopIfTrue="1" operator="notBetween">
      <formula>25</formula>
      <formula>75</formula>
    </cfRule>
  </conditionalFormatting>
  <conditionalFormatting sqref="B240">
    <cfRule type="cellIs" dxfId="610" priority="36" stopIfTrue="1" operator="lessThanOrEqual">
      <formula>0.05</formula>
    </cfRule>
    <cfRule type="cellIs" dxfId="609" priority="37" stopIfTrue="1" operator="lessThanOrEqual">
      <formula>0.1</formula>
    </cfRule>
  </conditionalFormatting>
  <conditionalFormatting sqref="B260">
    <cfRule type="cellIs" dxfId="608" priority="38" stopIfTrue="1" operator="notBetween">
      <formula>15</formula>
      <formula>85</formula>
    </cfRule>
    <cfRule type="cellIs" dxfId="607" priority="39" stopIfTrue="1" operator="notBetween">
      <formula>25</formula>
      <formula>75</formula>
    </cfRule>
  </conditionalFormatting>
  <conditionalFormatting sqref="B267">
    <cfRule type="cellIs" dxfId="606" priority="40" stopIfTrue="1" operator="lessThanOrEqual">
      <formula>0.05</formula>
    </cfRule>
    <cfRule type="cellIs" dxfId="605" priority="41" stopIfTrue="1" operator="lessThanOrEqual">
      <formula>0.1</formula>
    </cfRule>
  </conditionalFormatting>
  <conditionalFormatting sqref="B287">
    <cfRule type="cellIs" dxfId="604" priority="42" stopIfTrue="1" operator="notBetween">
      <formula>15</formula>
      <formula>85</formula>
    </cfRule>
    <cfRule type="cellIs" dxfId="603" priority="43" stopIfTrue="1" operator="notBetween">
      <formula>25</formula>
      <formula>75</formula>
    </cfRule>
  </conditionalFormatting>
  <conditionalFormatting sqref="B294">
    <cfRule type="cellIs" dxfId="602" priority="44" stopIfTrue="1" operator="lessThanOrEqual">
      <formula>0.05</formula>
    </cfRule>
    <cfRule type="cellIs" dxfId="601" priority="45" stopIfTrue="1" operator="lessThanOrEqual">
      <formula>0.1</formula>
    </cfRule>
  </conditionalFormatting>
  <conditionalFormatting sqref="B314">
    <cfRule type="cellIs" dxfId="600" priority="46" stopIfTrue="1" operator="notBetween">
      <formula>15</formula>
      <formula>85</formula>
    </cfRule>
    <cfRule type="cellIs" dxfId="599" priority="47" stopIfTrue="1" operator="notBetween">
      <formula>25</formula>
      <formula>75</formula>
    </cfRule>
  </conditionalFormatting>
  <conditionalFormatting sqref="B321">
    <cfRule type="cellIs" dxfId="598" priority="48" stopIfTrue="1" operator="lessThanOrEqual">
      <formula>0.05</formula>
    </cfRule>
    <cfRule type="cellIs" dxfId="597" priority="49" stopIfTrue="1" operator="lessThanOrEqual">
      <formula>0.1</formula>
    </cfRule>
  </conditionalFormatting>
  <conditionalFormatting sqref="B332">
    <cfRule type="cellIs" dxfId="596" priority="50" stopIfTrue="1" operator="notBetween">
      <formula>15</formula>
      <formula>85</formula>
    </cfRule>
    <cfRule type="cellIs" dxfId="595" priority="51" stopIfTrue="1" operator="notBetween">
      <formula>25</formula>
      <formula>75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8"/>
  <dimension ref="A1:G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64</v>
      </c>
    </row>
    <row r="2" spans="1:7">
      <c r="A2" s="2" t="s">
        <v>65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713</v>
      </c>
      <c r="B4">
        <v>443.68941740781452</v>
      </c>
      <c r="C4">
        <v>370.46184243022964</v>
      </c>
      <c r="D4">
        <v>351.59235668789808</v>
      </c>
    </row>
    <row r="5" spans="1:7">
      <c r="A5" s="1" t="s">
        <v>714</v>
      </c>
      <c r="B5">
        <v>352.14446952595938</v>
      </c>
      <c r="C5">
        <v>316.38418079096044</v>
      </c>
      <c r="D5">
        <v>309.24039759479689</v>
      </c>
    </row>
    <row r="6" spans="1:7">
      <c r="A6" s="1" t="s">
        <v>715</v>
      </c>
      <c r="B6">
        <v>310.73233275510972</v>
      </c>
      <c r="C6">
        <v>370.59913526868439</v>
      </c>
      <c r="D6">
        <v>362.72040302267004</v>
      </c>
    </row>
    <row r="7" spans="1:7">
      <c r="A7" s="1" t="s">
        <v>716</v>
      </c>
      <c r="B7">
        <v>427.66616138088688</v>
      </c>
      <c r="C7">
        <v>423.74942719944022</v>
      </c>
      <c r="D7">
        <v>360.76662908680947</v>
      </c>
    </row>
    <row r="8" spans="1:7">
      <c r="A8" s="1" t="s">
        <v>717</v>
      </c>
      <c r="B8">
        <v>367.71908673046494</v>
      </c>
      <c r="C8">
        <v>369.73282721281061</v>
      </c>
      <c r="D8">
        <v>365.62142947822775</v>
      </c>
    </row>
    <row r="9" spans="1:7">
      <c r="A9" s="1" t="s">
        <v>718</v>
      </c>
      <c r="B9">
        <v>381.02352196707801</v>
      </c>
      <c r="C9">
        <v>382.35869899600084</v>
      </c>
      <c r="D9">
        <v>368.18851251840942</v>
      </c>
    </row>
    <row r="10" spans="1:7">
      <c r="A10" s="1" t="s">
        <v>719</v>
      </c>
      <c r="B10">
        <v>384.23009016714929</v>
      </c>
      <c r="C10">
        <v>378.45338715781509</v>
      </c>
      <c r="D10">
        <v>386.76087764968395</v>
      </c>
    </row>
    <row r="11" spans="1:7">
      <c r="A11" s="1" t="s">
        <v>720</v>
      </c>
      <c r="B11">
        <v>397.22342135550019</v>
      </c>
      <c r="C11">
        <v>372.67080745341616</v>
      </c>
      <c r="D11">
        <v>370.00493339911202</v>
      </c>
    </row>
    <row r="12" spans="1:7">
      <c r="A12" s="1" t="s">
        <v>721</v>
      </c>
      <c r="B12">
        <v>357.30370815192913</v>
      </c>
      <c r="C12">
        <v>336.86359576368511</v>
      </c>
      <c r="D12">
        <v>346.95160276555629</v>
      </c>
    </row>
    <row r="13" spans="1:7">
      <c r="A13" s="1" t="s">
        <v>722</v>
      </c>
      <c r="B13">
        <v>339.57205977262572</v>
      </c>
      <c r="C13">
        <v>329.46461999251216</v>
      </c>
      <c r="D13">
        <v>320.5050382420784</v>
      </c>
    </row>
    <row r="14" spans="1:7">
      <c r="A14" s="1" t="s">
        <v>723</v>
      </c>
      <c r="B14">
        <v>330.61133311822084</v>
      </c>
      <c r="C14">
        <v>348.08929247067726</v>
      </c>
      <c r="D14">
        <v>336.99633699633699</v>
      </c>
    </row>
    <row r="15" spans="1:7">
      <c r="A15" s="1" t="s">
        <v>724</v>
      </c>
      <c r="B15">
        <v>337.79239219789253</v>
      </c>
      <c r="C15">
        <v>315.55221637866265</v>
      </c>
      <c r="D15">
        <v>307.09237143553497</v>
      </c>
    </row>
    <row r="16" spans="1:7">
      <c r="A16" s="1" t="s">
        <v>725</v>
      </c>
      <c r="B16">
        <v>372.23457477292772</v>
      </c>
      <c r="C16">
        <v>399.8025666337611</v>
      </c>
      <c r="D16">
        <v>383.9754255727633</v>
      </c>
    </row>
    <row r="17" spans="1:5">
      <c r="A17" s="1" t="s">
        <v>726</v>
      </c>
      <c r="B17">
        <v>342.28238296594691</v>
      </c>
      <c r="C17">
        <v>311.76543362612887</v>
      </c>
      <c r="D17">
        <v>320.16262228433487</v>
      </c>
    </row>
    <row r="18" spans="1:5">
      <c r="A18" s="1" t="s">
        <v>727</v>
      </c>
      <c r="B18">
        <v>324.4932893398497</v>
      </c>
      <c r="C18">
        <v>322.00357781753127</v>
      </c>
      <c r="D18">
        <v>317.31818425468748</v>
      </c>
    </row>
    <row r="19" spans="1:5">
      <c r="A19" s="1" t="s">
        <v>728</v>
      </c>
      <c r="B19">
        <v>318.99828575687565</v>
      </c>
      <c r="C19">
        <v>311.804008908686</v>
      </c>
      <c r="D19">
        <v>307.61343245321711</v>
      </c>
    </row>
    <row r="20" spans="1:5">
      <c r="A20" t="s">
        <v>729</v>
      </c>
      <c r="B20">
        <v>314.85044603813185</v>
      </c>
      <c r="C20">
        <v>335.70701932858594</v>
      </c>
      <c r="D20">
        <v>314.92126968257935</v>
      </c>
    </row>
    <row r="21" spans="1:5">
      <c r="A21" t="s">
        <v>730</v>
      </c>
      <c r="B21">
        <v>326.98666926797495</v>
      </c>
      <c r="C21">
        <v>301.69704588309241</v>
      </c>
      <c r="D21">
        <v>322.994104075878</v>
      </c>
    </row>
    <row r="22" spans="1:5">
      <c r="A22" t="s">
        <v>743</v>
      </c>
      <c r="B22">
        <v>354.42531037244692</v>
      </c>
      <c r="C22">
        <v>347.69463340891912</v>
      </c>
      <c r="D22">
        <v>351.17668577002809</v>
      </c>
    </row>
    <row r="23" spans="1:5">
      <c r="A23" t="s">
        <v>744</v>
      </c>
      <c r="B23">
        <v>379.73729813898586</v>
      </c>
      <c r="C23">
        <v>389.15553249448698</v>
      </c>
      <c r="D23">
        <v>389.75640224859467</v>
      </c>
    </row>
    <row r="24" spans="1:5">
      <c r="A24" s="1" t="s">
        <v>745</v>
      </c>
      <c r="B24">
        <v>381.53414780692975</v>
      </c>
      <c r="C24">
        <v>340.11852615305338</v>
      </c>
      <c r="D24">
        <v>346.77723332076897</v>
      </c>
    </row>
    <row r="25" spans="1:5">
      <c r="A25" s="1" t="s">
        <v>746</v>
      </c>
      <c r="B25">
        <v>350.58805903063899</v>
      </c>
      <c r="C25">
        <v>351.41329258976322</v>
      </c>
      <c r="D25">
        <v>338.73343151693666</v>
      </c>
    </row>
    <row r="26" spans="1:5">
      <c r="A26" s="1" t="s">
        <v>747</v>
      </c>
      <c r="B26">
        <v>348.82782569182831</v>
      </c>
      <c r="C26">
        <v>327.0970140007434</v>
      </c>
      <c r="D26">
        <v>329.2591668745323</v>
      </c>
    </row>
    <row r="27" spans="1:5">
      <c r="A27" s="1" t="s">
        <v>748</v>
      </c>
      <c r="B27">
        <v>320.39125661243634</v>
      </c>
      <c r="C27">
        <v>310.38305210001232</v>
      </c>
      <c r="D27">
        <v>307.72988154841858</v>
      </c>
    </row>
    <row r="28" spans="1:5">
      <c r="A28" s="1" t="s">
        <v>749</v>
      </c>
      <c r="B28">
        <v>333.86805694806498</v>
      </c>
      <c r="C28">
        <v>320.69970845481055</v>
      </c>
      <c r="D28">
        <v>314.25364758698095</v>
      </c>
    </row>
    <row r="29" spans="1:5">
      <c r="A29" s="1" t="s">
        <v>750</v>
      </c>
      <c r="B29" t="e">
        <f>NA()</f>
        <v>#N/A</v>
      </c>
      <c r="C29">
        <v>319.31069437404966</v>
      </c>
      <c r="D29">
        <v>315.59173450219163</v>
      </c>
      <c r="E29" t="s">
        <v>29</v>
      </c>
    </row>
    <row r="30" spans="1:5">
      <c r="A30" s="1" t="s">
        <v>751</v>
      </c>
      <c r="B30">
        <v>366.50394292151714</v>
      </c>
      <c r="C30">
        <v>315.11816931349256</v>
      </c>
      <c r="D30">
        <v>325.76505429417568</v>
      </c>
    </row>
    <row r="31" spans="1:5">
      <c r="A31" s="1" t="s">
        <v>752</v>
      </c>
      <c r="B31">
        <v>321.14108952064493</v>
      </c>
      <c r="C31">
        <v>315.98746081504703</v>
      </c>
      <c r="D31">
        <v>310.84248180584683</v>
      </c>
    </row>
    <row r="32" spans="1:5">
      <c r="A32" s="1" t="s">
        <v>753</v>
      </c>
      <c r="B32">
        <v>314.25477803238232</v>
      </c>
      <c r="C32">
        <v>311.11111111111109</v>
      </c>
      <c r="D32">
        <v>328.52165256346444</v>
      </c>
    </row>
    <row r="33" spans="1:7">
      <c r="A33" s="1" t="s">
        <v>754</v>
      </c>
      <c r="B33">
        <v>361.85450433471539</v>
      </c>
      <c r="C33">
        <v>321.5926493108729</v>
      </c>
      <c r="D33">
        <v>321.18276828957431</v>
      </c>
    </row>
    <row r="34" spans="1:7">
      <c r="A34" s="1" t="s">
        <v>755</v>
      </c>
      <c r="B34">
        <v>315.7736454313067</v>
      </c>
      <c r="C34">
        <v>323.36712434235858</v>
      </c>
      <c r="D34">
        <v>332.66129032258061</v>
      </c>
    </row>
    <row r="35" spans="1:7">
      <c r="A35" s="1" t="s">
        <v>756</v>
      </c>
      <c r="B35">
        <v>321.01605080254012</v>
      </c>
      <c r="C35">
        <v>324.24465733235081</v>
      </c>
      <c r="D35">
        <v>335.92989289191826</v>
      </c>
    </row>
    <row r="36" spans="1:7">
      <c r="A36" s="1" t="s">
        <v>757</v>
      </c>
      <c r="B36">
        <v>329.77740025482797</v>
      </c>
      <c r="C36">
        <v>326.01339754214928</v>
      </c>
      <c r="D36">
        <v>329.17705735660849</v>
      </c>
    </row>
    <row r="37" spans="1:7">
      <c r="A37" s="1" t="s">
        <v>758</v>
      </c>
      <c r="B37">
        <v>396.16935483870969</v>
      </c>
      <c r="C37">
        <v>428.57142857142861</v>
      </c>
      <c r="D37">
        <v>383.90550018456997</v>
      </c>
    </row>
    <row r="38" spans="1:7">
      <c r="A38" s="1" t="s">
        <v>759</v>
      </c>
      <c r="B38">
        <v>333.87642561724527</v>
      </c>
      <c r="C38">
        <v>332.61937759858887</v>
      </c>
      <c r="D38">
        <v>331.95020746887968</v>
      </c>
    </row>
    <row r="39" spans="1:7">
      <c r="A39" s="1" t="s">
        <v>760</v>
      </c>
      <c r="B39">
        <v>328.82879693236993</v>
      </c>
      <c r="C39">
        <v>342.32365145228215</v>
      </c>
      <c r="D39">
        <v>331.24215809284817</v>
      </c>
    </row>
    <row r="40" spans="1:7">
      <c r="A40" t="s">
        <v>761</v>
      </c>
      <c r="B40">
        <v>330.97279165113679</v>
      </c>
      <c r="C40">
        <v>320.24399542508581</v>
      </c>
      <c r="D40">
        <v>324.165894923172</v>
      </c>
    </row>
    <row r="41" spans="1:7">
      <c r="A41" t="s">
        <v>762</v>
      </c>
      <c r="B41">
        <v>338.42768753749243</v>
      </c>
      <c r="C41">
        <v>333.81712626995642</v>
      </c>
      <c r="D41">
        <v>323.53318782898958</v>
      </c>
    </row>
    <row r="42" spans="1:7">
      <c r="A42" t="s">
        <v>763</v>
      </c>
      <c r="B42" t="e">
        <f>NA()</f>
        <v>#N/A</v>
      </c>
      <c r="C42">
        <v>336.64587455145437</v>
      </c>
      <c r="D42">
        <v>320.49557920136726</v>
      </c>
      <c r="E42" t="s">
        <v>43</v>
      </c>
    </row>
    <row r="43" spans="1:7">
      <c r="A43" t="s">
        <v>764</v>
      </c>
      <c r="B43" t="e">
        <f>NA()</f>
        <v>#N/A</v>
      </c>
      <c r="C43" t="e">
        <f>NA()</f>
        <v>#N/A</v>
      </c>
      <c r="D43" t="e">
        <f>NA()</f>
        <v>#N/A</v>
      </c>
      <c r="E43" t="s">
        <v>15</v>
      </c>
      <c r="F43" t="s">
        <v>17</v>
      </c>
      <c r="G43" t="s">
        <v>15</v>
      </c>
    </row>
    <row r="44" spans="1:7">
      <c r="A44" s="1" t="s">
        <v>765</v>
      </c>
      <c r="B44" t="e">
        <f>NA()</f>
        <v>#N/A</v>
      </c>
      <c r="C44" t="e">
        <f>NA()</f>
        <v>#N/A</v>
      </c>
      <c r="D44">
        <v>304.25963488843809</v>
      </c>
      <c r="E44" t="s">
        <v>36</v>
      </c>
      <c r="F44" t="s">
        <v>17</v>
      </c>
    </row>
    <row r="45" spans="1:7">
      <c r="A45" s="1" t="s">
        <v>766</v>
      </c>
      <c r="B45">
        <v>305.02998590519655</v>
      </c>
      <c r="C45">
        <v>299.88256585537533</v>
      </c>
      <c r="D45" t="e">
        <f>NA()</f>
        <v>#N/A</v>
      </c>
      <c r="G45" t="s">
        <v>15</v>
      </c>
    </row>
    <row r="46" spans="1:7">
      <c r="A46" s="1" t="s">
        <v>767</v>
      </c>
      <c r="B46">
        <v>400.80361627322958</v>
      </c>
      <c r="C46">
        <v>351.13386978785667</v>
      </c>
      <c r="D46">
        <v>350.47619047619048</v>
      </c>
    </row>
    <row r="47" spans="1:7">
      <c r="A47" s="1" t="s">
        <v>768</v>
      </c>
      <c r="B47">
        <v>403.48279928738111</v>
      </c>
      <c r="C47">
        <v>350.70628348757919</v>
      </c>
      <c r="D47">
        <v>347.16981132075472</v>
      </c>
    </row>
    <row r="48" spans="1:7">
      <c r="A48" s="1" t="s">
        <v>769</v>
      </c>
      <c r="B48">
        <v>391.55643683642478</v>
      </c>
      <c r="C48">
        <v>335.07344907126378</v>
      </c>
      <c r="D48">
        <v>343.71108343711086</v>
      </c>
    </row>
    <row r="49" spans="1:4">
      <c r="A49" s="1" t="s">
        <v>770</v>
      </c>
      <c r="B49">
        <v>339.01695084754238</v>
      </c>
      <c r="C49">
        <v>321.95121951219517</v>
      </c>
      <c r="D49">
        <v>324.96307237813886</v>
      </c>
    </row>
    <row r="50" spans="1:4">
      <c r="A50" s="1" t="s">
        <v>771</v>
      </c>
      <c r="B50">
        <v>398.85043108834185</v>
      </c>
      <c r="C50">
        <v>324.07407407407408</v>
      </c>
      <c r="D50">
        <v>330</v>
      </c>
    </row>
    <row r="51" spans="1:4">
      <c r="A51" s="1" t="s">
        <v>772</v>
      </c>
      <c r="B51">
        <v>371.85125949620152</v>
      </c>
      <c r="C51">
        <v>317.61308950914338</v>
      </c>
      <c r="D51">
        <v>331.57498116051238</v>
      </c>
    </row>
    <row r="52" spans="1:4">
      <c r="A52" s="1" t="s">
        <v>773</v>
      </c>
      <c r="B52">
        <v>324.51110499035985</v>
      </c>
      <c r="C52">
        <v>316.8217249182801</v>
      </c>
      <c r="D52">
        <v>324.44959443800695</v>
      </c>
    </row>
    <row r="53" spans="1:4">
      <c r="A53" s="1" t="s">
        <v>774</v>
      </c>
      <c r="B53">
        <v>340.31873509850669</v>
      </c>
      <c r="C53">
        <v>322.74590163934431</v>
      </c>
      <c r="D53">
        <v>319.61259079903147</v>
      </c>
    </row>
    <row r="54" spans="1:4">
      <c r="A54" s="1" t="s">
        <v>775</v>
      </c>
      <c r="B54">
        <v>381.3432088879992</v>
      </c>
      <c r="C54">
        <v>353.66478728856998</v>
      </c>
      <c r="D54">
        <v>336.39143730886849</v>
      </c>
    </row>
    <row r="55" spans="1:4">
      <c r="A55" s="1" t="s">
        <v>776</v>
      </c>
      <c r="B55">
        <v>336.5300348048176</v>
      </c>
      <c r="C55">
        <v>335.49370949294706</v>
      </c>
      <c r="D55">
        <v>315.43372136687947</v>
      </c>
    </row>
    <row r="56" spans="1:4">
      <c r="A56" s="1" t="s">
        <v>777</v>
      </c>
      <c r="B56">
        <v>319.01275705379379</v>
      </c>
      <c r="C56">
        <v>306.16150019135097</v>
      </c>
      <c r="D56">
        <v>305.26953361599033</v>
      </c>
    </row>
    <row r="57" spans="1:4">
      <c r="A57" s="1" t="s">
        <v>778</v>
      </c>
      <c r="B57">
        <v>299.96183406324849</v>
      </c>
      <c r="C57">
        <v>287.33459357277883</v>
      </c>
      <c r="D57">
        <v>312.26765799256503</v>
      </c>
    </row>
    <row r="58" spans="1:4">
      <c r="A58" s="1" t="s">
        <v>779</v>
      </c>
      <c r="B58">
        <v>392.52896524170995</v>
      </c>
      <c r="C58">
        <v>358.74439461883406</v>
      </c>
      <c r="D58">
        <v>347.91377788982726</v>
      </c>
    </row>
    <row r="59" spans="1:4">
      <c r="A59" s="1" t="s">
        <v>780</v>
      </c>
      <c r="B59">
        <v>372.73615390396031</v>
      </c>
      <c r="C59">
        <v>378.40565085771948</v>
      </c>
      <c r="D59">
        <v>392.44186046511629</v>
      </c>
    </row>
    <row r="60" spans="1:4">
      <c r="A60" s="1" t="s">
        <v>781</v>
      </c>
      <c r="B60">
        <v>360.15306505264738</v>
      </c>
      <c r="C60">
        <v>330.16508254127064</v>
      </c>
      <c r="D60">
        <v>324.28448593538877</v>
      </c>
    </row>
    <row r="61" spans="1:4">
      <c r="A61" s="1" t="s">
        <v>782</v>
      </c>
      <c r="B61">
        <v>328.85804797103634</v>
      </c>
      <c r="C61">
        <v>322.501832396775</v>
      </c>
      <c r="D61">
        <v>340.48852701702441</v>
      </c>
    </row>
    <row r="62" spans="1:4">
      <c r="A62" s="1" t="s">
        <v>783</v>
      </c>
      <c r="B62">
        <v>385.97716052460981</v>
      </c>
      <c r="C62">
        <v>314.76392705470897</v>
      </c>
      <c r="D62">
        <v>311.40521603736863</v>
      </c>
    </row>
    <row r="63" spans="1:4">
      <c r="A63" s="1" t="s">
        <v>784</v>
      </c>
      <c r="B63">
        <v>390.77858048073227</v>
      </c>
      <c r="C63">
        <v>380.27633413613893</v>
      </c>
      <c r="D63">
        <v>384.6696761370273</v>
      </c>
    </row>
    <row r="64" spans="1:4">
      <c r="A64" s="1" t="s">
        <v>785</v>
      </c>
      <c r="B64">
        <v>326.91009972257626</v>
      </c>
      <c r="C64">
        <v>327.58406750217148</v>
      </c>
      <c r="D64">
        <v>326.85421853235454</v>
      </c>
    </row>
    <row r="65" spans="1:5">
      <c r="A65" s="1" t="s">
        <v>786</v>
      </c>
      <c r="B65">
        <v>363.30881249061702</v>
      </c>
      <c r="C65">
        <v>379.0271636133923</v>
      </c>
      <c r="D65">
        <v>356.347438752784</v>
      </c>
    </row>
    <row r="66" spans="1:5">
      <c r="A66" t="s">
        <v>787</v>
      </c>
      <c r="B66">
        <v>419.81822639195929</v>
      </c>
      <c r="C66">
        <v>343.75389214098891</v>
      </c>
      <c r="D66">
        <v>347.86992689689941</v>
      </c>
    </row>
    <row r="67" spans="1:5">
      <c r="A67" t="s">
        <v>788</v>
      </c>
      <c r="B67">
        <v>343.01188506092979</v>
      </c>
      <c r="C67">
        <v>320.24399542508581</v>
      </c>
      <c r="D67">
        <v>360.09002250562639</v>
      </c>
    </row>
    <row r="68" spans="1:5">
      <c r="A68" t="s">
        <v>789</v>
      </c>
      <c r="B68">
        <v>330.83535928218748</v>
      </c>
      <c r="C68">
        <v>368.23370565852457</v>
      </c>
      <c r="D68">
        <v>337.0561661292079</v>
      </c>
    </row>
    <row r="69" spans="1:5">
      <c r="A69" t="s">
        <v>790</v>
      </c>
      <c r="B69">
        <v>332.43486073674757</v>
      </c>
      <c r="C69">
        <v>360.09002250562639</v>
      </c>
      <c r="D69">
        <v>343.30299089726913</v>
      </c>
    </row>
    <row r="70" spans="1:5">
      <c r="A70" s="1" t="s">
        <v>791</v>
      </c>
      <c r="B70">
        <v>328.88180187362963</v>
      </c>
      <c r="C70">
        <v>321.92130812468059</v>
      </c>
      <c r="D70">
        <v>323.86582701452255</v>
      </c>
    </row>
    <row r="71" spans="1:5">
      <c r="A71" s="1" t="s">
        <v>792</v>
      </c>
      <c r="B71">
        <v>323.92711639881031</v>
      </c>
      <c r="C71">
        <v>324.90974729241879</v>
      </c>
      <c r="D71">
        <v>336.34403280542989</v>
      </c>
    </row>
    <row r="72" spans="1:5">
      <c r="A72" s="1" t="s">
        <v>793</v>
      </c>
      <c r="B72">
        <v>355.10801094316281</v>
      </c>
      <c r="C72">
        <v>326.24814631735046</v>
      </c>
      <c r="D72">
        <v>330.20637898686675</v>
      </c>
    </row>
    <row r="73" spans="1:5">
      <c r="A73" s="1" t="s">
        <v>794</v>
      </c>
      <c r="B73">
        <v>327.72098616957305</v>
      </c>
      <c r="C73">
        <v>323.45013477088952</v>
      </c>
      <c r="D73">
        <v>336.60589060308553</v>
      </c>
    </row>
    <row r="74" spans="1:5">
      <c r="A74" s="1" t="s">
        <v>795</v>
      </c>
      <c r="B74" t="e">
        <f>NA()</f>
        <v>#N/A</v>
      </c>
      <c r="C74">
        <v>311.1879476413929</v>
      </c>
      <c r="D74">
        <v>310.03746286009562</v>
      </c>
      <c r="E74" t="s">
        <v>15</v>
      </c>
    </row>
    <row r="75" spans="1:5">
      <c r="A75" s="1" t="s">
        <v>796</v>
      </c>
      <c r="B75">
        <v>311.72723866616712</v>
      </c>
      <c r="C75">
        <v>304.06689471683768</v>
      </c>
      <c r="D75">
        <v>304.05405405405406</v>
      </c>
    </row>
    <row r="76" spans="1:5">
      <c r="A76" s="1" t="s">
        <v>797</v>
      </c>
      <c r="B76">
        <v>303.58439996994213</v>
      </c>
      <c r="C76">
        <v>312.05304901833307</v>
      </c>
      <c r="D76">
        <v>309.50626381724396</v>
      </c>
    </row>
    <row r="77" spans="1:5">
      <c r="A77" s="1" t="s">
        <v>798</v>
      </c>
      <c r="B77">
        <v>306.84382050639255</v>
      </c>
      <c r="C77">
        <v>317.61308950914338</v>
      </c>
      <c r="D77">
        <v>297.98857710454428</v>
      </c>
    </row>
    <row r="78" spans="1:5">
      <c r="A78" s="1" t="s">
        <v>799</v>
      </c>
      <c r="B78">
        <v>324.94233276501859</v>
      </c>
      <c r="C78">
        <v>298.17368617219535</v>
      </c>
      <c r="D78">
        <v>303.72057706909641</v>
      </c>
    </row>
    <row r="79" spans="1:5">
      <c r="A79" s="1" t="s">
        <v>800</v>
      </c>
      <c r="B79">
        <v>296.28890662410214</v>
      </c>
      <c r="C79">
        <v>295.34826482894414</v>
      </c>
      <c r="D79">
        <v>297.84065524944157</v>
      </c>
    </row>
    <row r="80" spans="1:5">
      <c r="A80" s="1" t="s">
        <v>801</v>
      </c>
      <c r="B80">
        <v>332.21099887766553</v>
      </c>
      <c r="C80">
        <v>307.92917628945344</v>
      </c>
      <c r="D80">
        <v>308.10612544320821</v>
      </c>
    </row>
    <row r="81" spans="1:7">
      <c r="A81" s="1" t="s">
        <v>802</v>
      </c>
      <c r="B81">
        <v>305.31304564729356</v>
      </c>
      <c r="C81">
        <v>302.19088390833542</v>
      </c>
      <c r="D81">
        <v>302.8391167192429</v>
      </c>
    </row>
    <row r="82" spans="1:7">
      <c r="A82" s="1" t="s">
        <v>803</v>
      </c>
      <c r="B82">
        <v>367.09904274189643</v>
      </c>
      <c r="C82">
        <v>382.94613224406436</v>
      </c>
      <c r="D82">
        <v>404.84818193177563</v>
      </c>
    </row>
    <row r="83" spans="1:7">
      <c r="A83" s="1" t="s">
        <v>804</v>
      </c>
      <c r="B83">
        <v>371.54485754950184</v>
      </c>
      <c r="C83">
        <v>434.35304388615958</v>
      </c>
      <c r="D83" t="e">
        <f>NA()</f>
        <v>#N/A</v>
      </c>
      <c r="G83" t="s">
        <v>49</v>
      </c>
    </row>
    <row r="84" spans="1:7">
      <c r="A84" s="1" t="s">
        <v>805</v>
      </c>
      <c r="B84">
        <v>340.4041671896573</v>
      </c>
      <c r="C84">
        <v>349.14611005692598</v>
      </c>
      <c r="D84">
        <v>340.55727554179566</v>
      </c>
    </row>
    <row r="85" spans="1:7">
      <c r="A85" s="1" t="s">
        <v>806</v>
      </c>
      <c r="B85">
        <v>345.43973475094913</v>
      </c>
      <c r="C85">
        <v>343.32628436372681</v>
      </c>
      <c r="D85">
        <v>329.91752061984505</v>
      </c>
    </row>
    <row r="86" spans="1:7">
      <c r="A86" s="1" t="s">
        <v>807</v>
      </c>
      <c r="B86">
        <v>327.80311763821362</v>
      </c>
      <c r="C86">
        <v>323.52941176470586</v>
      </c>
      <c r="D86">
        <v>318.22199772698571</v>
      </c>
    </row>
    <row r="87" spans="1:7">
      <c r="A87" s="1" t="s">
        <v>808</v>
      </c>
      <c r="B87">
        <v>319.72652322541722</v>
      </c>
      <c r="C87">
        <v>308.04774740084713</v>
      </c>
      <c r="D87">
        <v>335.31861295035662</v>
      </c>
    </row>
    <row r="88" spans="1:7">
      <c r="A88" s="1" t="s">
        <v>809</v>
      </c>
      <c r="B88">
        <v>385.02030380508347</v>
      </c>
      <c r="C88">
        <v>409.03926271935359</v>
      </c>
      <c r="D88">
        <v>387.84744667097607</v>
      </c>
    </row>
    <row r="89" spans="1:7">
      <c r="A89" s="1" t="s">
        <v>810</v>
      </c>
      <c r="B89">
        <v>428.39223059922244</v>
      </c>
      <c r="C89">
        <v>380.13177901672577</v>
      </c>
      <c r="D89">
        <v>425.06412605349948</v>
      </c>
    </row>
    <row r="90" spans="1:7">
      <c r="A90" t="s">
        <v>811</v>
      </c>
      <c r="B90" t="e">
        <f>NA()</f>
        <v>#N/A</v>
      </c>
      <c r="C90">
        <v>330.04125515689464</v>
      </c>
      <c r="D90">
        <v>309.46825494289573</v>
      </c>
      <c r="E90" t="s">
        <v>66</v>
      </c>
    </row>
    <row r="91" spans="1:7">
      <c r="A91" t="s">
        <v>812</v>
      </c>
      <c r="B91">
        <v>354.23024966228047</v>
      </c>
      <c r="C91">
        <v>322.30496886827001</v>
      </c>
      <c r="D91">
        <v>308.44553243574052</v>
      </c>
    </row>
    <row r="92" spans="1:7">
      <c r="A92" t="s">
        <v>813</v>
      </c>
      <c r="B92">
        <v>305.54365089368997</v>
      </c>
      <c r="C92">
        <v>297.3977695167286</v>
      </c>
      <c r="D92">
        <v>299.17726252804783</v>
      </c>
    </row>
    <row r="93" spans="1:7">
      <c r="A93" t="s">
        <v>814</v>
      </c>
      <c r="B93">
        <v>294.88465396188565</v>
      </c>
      <c r="C93">
        <v>292.36204166159092</v>
      </c>
      <c r="D93">
        <v>291.58060988944237</v>
      </c>
    </row>
    <row r="94" spans="1:7">
      <c r="A94" s="1" t="s">
        <v>827</v>
      </c>
      <c r="B94">
        <v>343.32178888721575</v>
      </c>
      <c r="C94">
        <v>317.42033001637486</v>
      </c>
      <c r="D94">
        <v>322.265625</v>
      </c>
    </row>
    <row r="95" spans="1:7">
      <c r="A95" t="s">
        <v>828</v>
      </c>
      <c r="B95">
        <v>336.83582979357624</v>
      </c>
      <c r="C95">
        <v>318.34259727134912</v>
      </c>
      <c r="D95">
        <v>312.73268801191364</v>
      </c>
    </row>
    <row r="96" spans="1:7">
      <c r="A96" t="s">
        <v>829</v>
      </c>
      <c r="B96">
        <v>315.06301260252053</v>
      </c>
      <c r="C96">
        <v>317.91907514450867</v>
      </c>
      <c r="D96">
        <v>312.5</v>
      </c>
    </row>
    <row r="97" spans="1:7">
      <c r="A97" t="s">
        <v>830</v>
      </c>
      <c r="B97">
        <v>347.57422157856627</v>
      </c>
      <c r="C97">
        <v>325.24331649624241</v>
      </c>
      <c r="D97">
        <v>334.21952145841249</v>
      </c>
    </row>
    <row r="98" spans="1:7">
      <c r="A98" t="s">
        <v>831</v>
      </c>
      <c r="B98">
        <v>366.68753913587977</v>
      </c>
      <c r="C98">
        <v>296.15004935834156</v>
      </c>
      <c r="D98">
        <v>294.51466437599703</v>
      </c>
    </row>
    <row r="99" spans="1:7">
      <c r="A99" s="1" t="s">
        <v>832</v>
      </c>
      <c r="B99">
        <v>304.35437697755015</v>
      </c>
      <c r="C99">
        <v>311.03431251542827</v>
      </c>
      <c r="D99">
        <v>301.65912518853696</v>
      </c>
    </row>
    <row r="100" spans="1:7">
      <c r="A100" s="1" t="s">
        <v>833</v>
      </c>
      <c r="B100">
        <v>336.24614645933326</v>
      </c>
      <c r="C100">
        <v>296.18659755646058</v>
      </c>
      <c r="D100">
        <v>298.35902536051714</v>
      </c>
    </row>
    <row r="101" spans="1:7">
      <c r="A101" s="1" t="s">
        <v>834</v>
      </c>
      <c r="B101">
        <v>297.17087325211997</v>
      </c>
      <c r="C101">
        <v>284.82198625858842</v>
      </c>
      <c r="D101">
        <v>285.60691469372415</v>
      </c>
    </row>
    <row r="102" spans="1:7">
      <c r="A102" s="1" t="s">
        <v>835</v>
      </c>
      <c r="B102">
        <v>364.20501708499455</v>
      </c>
      <c r="C102">
        <v>394.28788070264125</v>
      </c>
      <c r="D102">
        <v>334.99211069304528</v>
      </c>
    </row>
    <row r="103" spans="1:7">
      <c r="A103" s="1" t="s">
        <v>836</v>
      </c>
      <c r="B103">
        <v>402.896444589211</v>
      </c>
      <c r="C103" t="e">
        <f>NA()</f>
        <v>#N/A</v>
      </c>
      <c r="D103" t="e">
        <f>NA()</f>
        <v>#N/A</v>
      </c>
      <c r="F103" t="s">
        <v>67</v>
      </c>
      <c r="G103" t="s">
        <v>29</v>
      </c>
    </row>
    <row r="104" spans="1:7">
      <c r="A104" s="1" t="s">
        <v>837</v>
      </c>
      <c r="B104">
        <v>339.90925726317897</v>
      </c>
      <c r="C104">
        <v>299.10269192422732</v>
      </c>
      <c r="D104">
        <v>303.87439858191948</v>
      </c>
    </row>
    <row r="105" spans="1:7">
      <c r="A105" s="1" t="s">
        <v>838</v>
      </c>
      <c r="B105">
        <v>350.03739715781603</v>
      </c>
      <c r="C105">
        <v>311.38020511553196</v>
      </c>
      <c r="D105">
        <v>303.10319942266057</v>
      </c>
    </row>
    <row r="106" spans="1:7">
      <c r="A106" s="1"/>
    </row>
    <row r="107" spans="1:7">
      <c r="A107" s="4" t="s">
        <v>18</v>
      </c>
      <c r="B107">
        <v>97</v>
      </c>
    </row>
    <row r="108" spans="1:7">
      <c r="A108" s="4" t="s">
        <v>191</v>
      </c>
      <c r="B108">
        <v>55</v>
      </c>
    </row>
    <row r="109" spans="1:7">
      <c r="A109" s="4" t="s">
        <v>192</v>
      </c>
      <c r="B109">
        <v>42</v>
      </c>
    </row>
    <row r="110" spans="1:7">
      <c r="A110" s="6" t="s">
        <v>193</v>
      </c>
      <c r="B110">
        <v>56.701030927835049</v>
      </c>
    </row>
    <row r="111" spans="1:7">
      <c r="A111" s="1"/>
    </row>
    <row r="112" spans="1:7">
      <c r="A112" s="4" t="s">
        <v>19</v>
      </c>
      <c r="B112">
        <v>2.2783164139477985</v>
      </c>
    </row>
    <row r="113" spans="1:7">
      <c r="A113" s="1" t="s">
        <v>20</v>
      </c>
      <c r="B113">
        <v>253.31634720385989</v>
      </c>
    </row>
    <row r="114" spans="1:7">
      <c r="A114" s="1" t="s">
        <v>23</v>
      </c>
      <c r="B114">
        <v>15.915914903135789</v>
      </c>
    </row>
    <row r="115" spans="1:7">
      <c r="A115" s="1" t="s">
        <v>24</v>
      </c>
      <c r="B115">
        <v>1.6160163161491938</v>
      </c>
    </row>
    <row r="116" spans="1:7">
      <c r="A116" s="1" t="s">
        <v>21</v>
      </c>
      <c r="B116">
        <v>1.409835031478395</v>
      </c>
    </row>
    <row r="117" spans="1:7">
      <c r="A117" s="4" t="s">
        <v>22</v>
      </c>
      <c r="B117">
        <f>TDIST(ABS(B116),96,1)</f>
        <v>8.0909988488055751E-2</v>
      </c>
    </row>
    <row r="118" spans="1:7">
      <c r="A118" s="1"/>
    </row>
    <row r="119" spans="1:7">
      <c r="A119" s="5" t="s">
        <v>68</v>
      </c>
    </row>
    <row r="120" spans="1:7">
      <c r="A120" s="3" t="s">
        <v>7</v>
      </c>
      <c r="B120" s="3" t="s">
        <v>8</v>
      </c>
      <c r="C120" s="3" t="s">
        <v>9</v>
      </c>
      <c r="D120" s="3" t="s">
        <v>10</v>
      </c>
      <c r="E120" s="3" t="s">
        <v>11</v>
      </c>
      <c r="F120" s="3" t="s">
        <v>12</v>
      </c>
      <c r="G120" s="3" t="s">
        <v>13</v>
      </c>
    </row>
    <row r="121" spans="1:7">
      <c r="A121" t="s">
        <v>839</v>
      </c>
      <c r="B121">
        <v>392.24560609489322</v>
      </c>
      <c r="C121">
        <v>353.83869369137335</v>
      </c>
      <c r="D121">
        <v>366.78553234844628</v>
      </c>
    </row>
    <row r="122" spans="1:7">
      <c r="A122" t="s">
        <v>840</v>
      </c>
      <c r="B122">
        <v>360.09002250562639</v>
      </c>
      <c r="C122">
        <v>334.09263477600604</v>
      </c>
      <c r="D122">
        <v>335.64392557460781</v>
      </c>
    </row>
    <row r="123" spans="1:7">
      <c r="A123" t="s">
        <v>841</v>
      </c>
      <c r="B123">
        <v>340.95194991325337</v>
      </c>
      <c r="C123">
        <v>343.53995519044065</v>
      </c>
      <c r="D123">
        <v>336.0488798370672</v>
      </c>
    </row>
    <row r="124" spans="1:7">
      <c r="A124" s="1" t="s">
        <v>842</v>
      </c>
      <c r="B124">
        <v>340.62896840218121</v>
      </c>
      <c r="C124">
        <v>327.86885245901641</v>
      </c>
      <c r="D124">
        <v>348.52885465336533</v>
      </c>
    </row>
    <row r="125" spans="1:7">
      <c r="A125" s="1" t="s">
        <v>843</v>
      </c>
      <c r="B125">
        <v>342.47089748404056</v>
      </c>
      <c r="C125">
        <v>321.92130812468059</v>
      </c>
      <c r="D125">
        <v>333.62820674838878</v>
      </c>
    </row>
    <row r="126" spans="1:7">
      <c r="A126" s="1" t="s">
        <v>844</v>
      </c>
      <c r="B126">
        <v>344.86205517792882</v>
      </c>
      <c r="C126">
        <v>331.53334170538739</v>
      </c>
      <c r="D126">
        <v>336.50329188002928</v>
      </c>
    </row>
    <row r="127" spans="1:7">
      <c r="A127" s="1" t="s">
        <v>845</v>
      </c>
      <c r="B127">
        <v>337.62057877813504</v>
      </c>
      <c r="C127">
        <v>321.36335970785149</v>
      </c>
      <c r="D127">
        <v>316.54314784574808</v>
      </c>
    </row>
    <row r="128" spans="1:7">
      <c r="A128" s="1" t="s">
        <v>846</v>
      </c>
      <c r="B128">
        <v>320.23144453312051</v>
      </c>
      <c r="C128">
        <v>302.45746691871454</v>
      </c>
      <c r="D128">
        <v>296.15004935834156</v>
      </c>
    </row>
    <row r="129" spans="1:6">
      <c r="A129" s="1" t="s">
        <v>847</v>
      </c>
      <c r="B129">
        <v>296.03050011213281</v>
      </c>
      <c r="C129">
        <v>307.54210397852086</v>
      </c>
      <c r="D129">
        <v>326.40949554896144</v>
      </c>
    </row>
    <row r="130" spans="1:6">
      <c r="A130" s="1" t="s">
        <v>848</v>
      </c>
      <c r="B130">
        <v>319.546065402419</v>
      </c>
      <c r="C130">
        <v>304.10542321338062</v>
      </c>
      <c r="D130">
        <v>308.20598433286244</v>
      </c>
    </row>
    <row r="131" spans="1:6">
      <c r="A131" s="1" t="s">
        <v>849</v>
      </c>
      <c r="B131">
        <v>302.14523114110182</v>
      </c>
      <c r="C131">
        <v>302.6863412788498</v>
      </c>
      <c r="D131">
        <v>294.99288394358911</v>
      </c>
    </row>
    <row r="132" spans="1:6">
      <c r="A132" s="1" t="s">
        <v>850</v>
      </c>
      <c r="B132">
        <v>371.37634218486915</v>
      </c>
      <c r="C132">
        <v>394.5870747438978</v>
      </c>
      <c r="D132">
        <v>400.82219938335044</v>
      </c>
    </row>
    <row r="133" spans="1:6">
      <c r="A133" s="1" t="s">
        <v>851</v>
      </c>
      <c r="B133">
        <v>368.79716156114137</v>
      </c>
      <c r="C133">
        <v>311.89083820662768</v>
      </c>
      <c r="D133">
        <v>308.12684555141868</v>
      </c>
    </row>
    <row r="134" spans="1:6">
      <c r="A134" s="1" t="s">
        <v>852</v>
      </c>
      <c r="B134">
        <v>320.13741062698955</v>
      </c>
      <c r="C134">
        <v>299.32651534048392</v>
      </c>
      <c r="D134">
        <v>298.61888764464351</v>
      </c>
    </row>
    <row r="135" spans="1:6">
      <c r="A135" s="1" t="s">
        <v>853</v>
      </c>
      <c r="B135" t="e">
        <f>NA()</f>
        <v>#N/A</v>
      </c>
      <c r="C135">
        <v>367.87247087676275</v>
      </c>
      <c r="D135">
        <v>373.3200597312096</v>
      </c>
      <c r="E135" t="s">
        <v>69</v>
      </c>
    </row>
    <row r="136" spans="1:6">
      <c r="A136" s="1" t="s">
        <v>854</v>
      </c>
      <c r="B136">
        <v>343.06349684020466</v>
      </c>
      <c r="C136">
        <v>352.80582896586992</v>
      </c>
      <c r="D136">
        <v>328.27654812235761</v>
      </c>
    </row>
    <row r="137" spans="1:6">
      <c r="A137" s="1" t="s">
        <v>855</v>
      </c>
      <c r="B137">
        <v>333.32499186707037</v>
      </c>
      <c r="C137">
        <v>313.16018391947313</v>
      </c>
      <c r="D137">
        <v>318.34076932352588</v>
      </c>
    </row>
    <row r="138" spans="1:6">
      <c r="A138" s="1" t="s">
        <v>856</v>
      </c>
      <c r="B138">
        <v>319.42682289723109</v>
      </c>
      <c r="C138">
        <v>346.64657121326297</v>
      </c>
      <c r="D138">
        <v>366.0861827888649</v>
      </c>
    </row>
    <row r="139" spans="1:6">
      <c r="A139" s="1" t="s">
        <v>869</v>
      </c>
      <c r="B139">
        <v>333.38890732617267</v>
      </c>
      <c r="C139">
        <v>314.56746972912242</v>
      </c>
      <c r="D139">
        <v>314.60674157303367</v>
      </c>
    </row>
    <row r="140" spans="1:6">
      <c r="A140" s="1" t="s">
        <v>870</v>
      </c>
      <c r="B140" t="e">
        <f>NA()</f>
        <v>#N/A</v>
      </c>
      <c r="C140">
        <v>314.25364758698095</v>
      </c>
      <c r="D140">
        <v>313.23414252153481</v>
      </c>
      <c r="E140" t="s">
        <v>70</v>
      </c>
    </row>
    <row r="141" spans="1:6">
      <c r="A141" s="1" t="s">
        <v>871</v>
      </c>
      <c r="B141">
        <v>309.17004352393815</v>
      </c>
      <c r="C141" t="e">
        <f>NA()</f>
        <v>#N/A</v>
      </c>
      <c r="D141">
        <v>306.86799805163179</v>
      </c>
      <c r="F141" t="s">
        <v>71</v>
      </c>
    </row>
    <row r="142" spans="1:6">
      <c r="A142" s="1" t="s">
        <v>872</v>
      </c>
      <c r="B142">
        <v>314.96850314968503</v>
      </c>
      <c r="C142">
        <v>376.74243375612201</v>
      </c>
      <c r="D142">
        <v>406.7285965352749</v>
      </c>
    </row>
    <row r="143" spans="1:6">
      <c r="A143" s="1" t="s">
        <v>873</v>
      </c>
      <c r="B143">
        <v>371.43356381518186</v>
      </c>
      <c r="C143">
        <v>416.46008924144763</v>
      </c>
      <c r="D143">
        <v>404.89877530617349</v>
      </c>
    </row>
    <row r="144" spans="1:6">
      <c r="A144" t="s">
        <v>874</v>
      </c>
      <c r="B144">
        <v>345.99532251303236</v>
      </c>
      <c r="C144">
        <v>322.77784570240863</v>
      </c>
      <c r="D144">
        <v>332.61937759858887</v>
      </c>
    </row>
    <row r="145" spans="1:4">
      <c r="A145" t="s">
        <v>875</v>
      </c>
      <c r="B145">
        <v>426.18675192767512</v>
      </c>
      <c r="C145">
        <v>417.54691189263082</v>
      </c>
      <c r="D145">
        <v>426.34183479253903</v>
      </c>
    </row>
    <row r="146" spans="1:4">
      <c r="A146" t="s">
        <v>876</v>
      </c>
      <c r="B146">
        <v>352.32120451693851</v>
      </c>
      <c r="C146">
        <v>365.89828027808272</v>
      </c>
      <c r="D146">
        <v>394.11263836516235</v>
      </c>
    </row>
    <row r="147" spans="1:4">
      <c r="A147" t="s">
        <v>877</v>
      </c>
      <c r="B147">
        <v>387.83780424135443</v>
      </c>
      <c r="C147">
        <v>322.45681381957775</v>
      </c>
      <c r="D147">
        <v>318.94696873813439</v>
      </c>
    </row>
    <row r="148" spans="1:4">
      <c r="A148" s="1" t="s">
        <v>878</v>
      </c>
      <c r="B148">
        <v>327.79490263889932</v>
      </c>
      <c r="C148">
        <v>337.69729597455034</v>
      </c>
      <c r="D148">
        <v>314.88191928026993</v>
      </c>
    </row>
    <row r="149" spans="1:4">
      <c r="A149" s="1" t="s">
        <v>879</v>
      </c>
      <c r="B149">
        <v>319.08488862131247</v>
      </c>
      <c r="C149">
        <v>296.40607632456471</v>
      </c>
      <c r="D149">
        <v>299.88754217168565</v>
      </c>
    </row>
    <row r="150" spans="1:4">
      <c r="A150" s="1" t="s">
        <v>880</v>
      </c>
      <c r="B150">
        <v>396.93593314763228</v>
      </c>
      <c r="C150">
        <v>350.29826120065997</v>
      </c>
      <c r="D150">
        <v>418.69123435879021</v>
      </c>
    </row>
    <row r="151" spans="1:4">
      <c r="A151" s="1" t="s">
        <v>881</v>
      </c>
      <c r="B151">
        <v>365.21478820535845</v>
      </c>
      <c r="C151">
        <v>332.8509406657019</v>
      </c>
      <c r="D151">
        <v>338.31821524883549</v>
      </c>
    </row>
    <row r="152" spans="1:4">
      <c r="A152" s="1" t="s">
        <v>882</v>
      </c>
      <c r="B152">
        <v>337.71389803251503</v>
      </c>
      <c r="C152">
        <v>402.58449304174951</v>
      </c>
      <c r="D152">
        <v>376.49330276336428</v>
      </c>
    </row>
    <row r="153" spans="1:4">
      <c r="A153" s="1" t="s">
        <v>883</v>
      </c>
      <c r="B153">
        <v>392.40158757894216</v>
      </c>
      <c r="C153">
        <v>338.9830508474576</v>
      </c>
      <c r="D153">
        <v>333.45415005436757</v>
      </c>
    </row>
    <row r="154" spans="1:4">
      <c r="A154" s="1" t="s">
        <v>884</v>
      </c>
      <c r="B154">
        <v>331.70588883165351</v>
      </c>
      <c r="C154">
        <v>319.03323262839882</v>
      </c>
      <c r="D154">
        <v>320</v>
      </c>
    </row>
    <row r="155" spans="1:4">
      <c r="A155" s="1" t="s">
        <v>885</v>
      </c>
      <c r="B155">
        <v>342.82307348338048</v>
      </c>
      <c r="C155">
        <v>309.08867901385992</v>
      </c>
      <c r="D155">
        <v>310.31807602792867</v>
      </c>
    </row>
    <row r="156" spans="1:4">
      <c r="A156" t="s">
        <v>886</v>
      </c>
      <c r="B156">
        <v>311.40832418405029</v>
      </c>
      <c r="C156">
        <v>303.64372469635623</v>
      </c>
      <c r="D156">
        <v>302.22893842085381</v>
      </c>
    </row>
    <row r="157" spans="1:4">
      <c r="A157" t="s">
        <v>887</v>
      </c>
      <c r="B157">
        <v>315.39424280350437</v>
      </c>
      <c r="C157">
        <v>309.23850019327409</v>
      </c>
      <c r="D157">
        <v>312.69388261570913</v>
      </c>
    </row>
    <row r="158" spans="1:4">
      <c r="A158" t="s">
        <v>888</v>
      </c>
      <c r="B158">
        <v>310.50955414012736</v>
      </c>
      <c r="C158">
        <v>302.00075500188746</v>
      </c>
      <c r="D158">
        <v>300.63885757234124</v>
      </c>
    </row>
    <row r="159" spans="1:4">
      <c r="A159" t="s">
        <v>889</v>
      </c>
      <c r="B159">
        <v>438.9327320556182</v>
      </c>
      <c r="C159">
        <v>339.60871170173499</v>
      </c>
      <c r="D159">
        <v>342.21946683199013</v>
      </c>
    </row>
    <row r="160" spans="1:4">
      <c r="A160" s="1" t="s">
        <v>890</v>
      </c>
      <c r="B160">
        <v>366.66917123750846</v>
      </c>
      <c r="C160">
        <v>386.8567885926845</v>
      </c>
      <c r="D160">
        <v>395.26656093692816</v>
      </c>
    </row>
    <row r="161" spans="1:4">
      <c r="A161" s="1" t="s">
        <v>891</v>
      </c>
      <c r="B161">
        <v>359.1966572292115</v>
      </c>
      <c r="C161">
        <v>341.03546274558261</v>
      </c>
      <c r="D161">
        <v>336.43430610424366</v>
      </c>
    </row>
    <row r="162" spans="1:4">
      <c r="A162" s="1" t="s">
        <v>892</v>
      </c>
      <c r="B162">
        <v>349.40924489938806</v>
      </c>
      <c r="C162">
        <v>310.03937007874015</v>
      </c>
      <c r="D162">
        <v>307.33768728390322</v>
      </c>
    </row>
    <row r="163" spans="1:4">
      <c r="A163" s="1" t="s">
        <v>893</v>
      </c>
      <c r="B163">
        <v>364.67674168329143</v>
      </c>
      <c r="C163">
        <v>308.67221950024498</v>
      </c>
      <c r="D163">
        <v>307.72988154841858</v>
      </c>
    </row>
    <row r="164" spans="1:4">
      <c r="A164" s="1" t="s">
        <v>894</v>
      </c>
      <c r="B164">
        <v>342.11118613549405</v>
      </c>
      <c r="C164">
        <v>322.02976335691631</v>
      </c>
      <c r="D164">
        <v>329.79387882573394</v>
      </c>
    </row>
    <row r="165" spans="1:4">
      <c r="A165" s="1" t="s">
        <v>895</v>
      </c>
      <c r="B165">
        <v>318.37408955522739</v>
      </c>
      <c r="C165">
        <v>308.97498773908779</v>
      </c>
      <c r="D165">
        <v>309.01287553648069</v>
      </c>
    </row>
    <row r="166" spans="1:4">
      <c r="A166" s="1" t="s">
        <v>896</v>
      </c>
      <c r="B166">
        <v>342.50825246332931</v>
      </c>
      <c r="C166">
        <v>303.06674684305472</v>
      </c>
      <c r="D166">
        <v>305.38236416846928</v>
      </c>
    </row>
    <row r="167" spans="1:4">
      <c r="A167" t="s">
        <v>897</v>
      </c>
      <c r="B167">
        <v>359.83807286720975</v>
      </c>
      <c r="C167">
        <v>323.86582701452255</v>
      </c>
      <c r="D167">
        <v>321.96243771559983</v>
      </c>
    </row>
    <row r="168" spans="1:4">
      <c r="A168" t="s">
        <v>898</v>
      </c>
      <c r="B168">
        <v>331.44222155867425</v>
      </c>
      <c r="C168">
        <v>309.05077262693158</v>
      </c>
      <c r="D168">
        <v>308.86138007108713</v>
      </c>
    </row>
    <row r="169" spans="1:4">
      <c r="A169" t="s">
        <v>899</v>
      </c>
      <c r="B169">
        <v>363.21501439928591</v>
      </c>
      <c r="C169">
        <v>337.36707004033735</v>
      </c>
      <c r="D169">
        <v>326.8135677147809</v>
      </c>
    </row>
    <row r="170" spans="1:4">
      <c r="A170" t="s">
        <v>900</v>
      </c>
      <c r="B170">
        <v>331.59073935772966</v>
      </c>
      <c r="C170">
        <v>328.93097433341637</v>
      </c>
      <c r="D170">
        <v>314.09697120777759</v>
      </c>
    </row>
    <row r="171" spans="1:4">
      <c r="A171" s="1" t="s">
        <v>901</v>
      </c>
      <c r="B171">
        <v>350.71294471993969</v>
      </c>
      <c r="C171">
        <v>344.26842958712734</v>
      </c>
      <c r="D171">
        <v>361.85450433471544</v>
      </c>
    </row>
    <row r="172" spans="1:4">
      <c r="A172" s="1" t="s">
        <v>902</v>
      </c>
      <c r="B172">
        <v>338.22208919485183</v>
      </c>
      <c r="C172">
        <v>295.0577821490042</v>
      </c>
      <c r="D172">
        <v>302.19088390833542</v>
      </c>
    </row>
    <row r="173" spans="1:4">
      <c r="A173" s="1" t="s">
        <v>903</v>
      </c>
      <c r="B173">
        <v>321.18468119168523</v>
      </c>
      <c r="C173">
        <v>296.84601113172539</v>
      </c>
      <c r="D173">
        <v>315.9478435305918</v>
      </c>
    </row>
    <row r="174" spans="1:4">
      <c r="A174" s="1" t="s">
        <v>904</v>
      </c>
      <c r="B174">
        <v>305.01632236038779</v>
      </c>
      <c r="C174">
        <v>313.16018391947313</v>
      </c>
      <c r="D174">
        <v>297.02970297029702</v>
      </c>
    </row>
    <row r="175" spans="1:4">
      <c r="A175" s="1" t="s">
        <v>905</v>
      </c>
      <c r="B175">
        <v>349.72447196331927</v>
      </c>
      <c r="C175">
        <v>321.76294159603452</v>
      </c>
      <c r="D175">
        <v>314.29284110750814</v>
      </c>
    </row>
    <row r="176" spans="1:4">
      <c r="A176" s="1" t="s">
        <v>906</v>
      </c>
      <c r="B176">
        <v>384.55837128604622</v>
      </c>
      <c r="C176">
        <v>388.88196435248659</v>
      </c>
      <c r="D176">
        <v>361.30974783590517</v>
      </c>
    </row>
    <row r="177" spans="1:5">
      <c r="A177" s="1" t="s">
        <v>907</v>
      </c>
      <c r="B177">
        <v>380.23162655013027</v>
      </c>
      <c r="C177">
        <v>318.50353892821033</v>
      </c>
      <c r="D177">
        <v>311.45717463848723</v>
      </c>
    </row>
    <row r="178" spans="1:5">
      <c r="A178" s="1" t="s">
        <v>908</v>
      </c>
      <c r="B178">
        <v>321.82870892548311</v>
      </c>
      <c r="C178">
        <v>319.1103589991539</v>
      </c>
      <c r="D178">
        <v>306.67007411193453</v>
      </c>
    </row>
    <row r="179" spans="1:5">
      <c r="A179" s="1" t="s">
        <v>909</v>
      </c>
      <c r="B179">
        <v>397.35099337748346</v>
      </c>
      <c r="C179">
        <v>322.12706122970729</v>
      </c>
      <c r="D179">
        <v>326.04668395702117</v>
      </c>
    </row>
    <row r="180" spans="1:5">
      <c r="A180" s="1" t="s">
        <v>910</v>
      </c>
      <c r="B180">
        <v>397.88591942560834</v>
      </c>
      <c r="C180">
        <v>338.60875966139122</v>
      </c>
      <c r="D180">
        <v>334.42384587422754</v>
      </c>
    </row>
    <row r="181" spans="1:5">
      <c r="A181" s="1" t="s">
        <v>911</v>
      </c>
      <c r="B181">
        <v>345.06901380276054</v>
      </c>
      <c r="C181">
        <v>324.92307692307696</v>
      </c>
      <c r="D181">
        <v>327.78743481499873</v>
      </c>
    </row>
    <row r="182" spans="1:5">
      <c r="A182" s="1" t="s">
        <v>912</v>
      </c>
      <c r="B182">
        <v>322.3781666624821</v>
      </c>
      <c r="C182">
        <v>345</v>
      </c>
      <c r="D182">
        <v>333.21260412893878</v>
      </c>
    </row>
    <row r="183" spans="1:5">
      <c r="A183" s="1" t="s">
        <v>913</v>
      </c>
      <c r="B183">
        <v>379.62312804410118</v>
      </c>
      <c r="C183">
        <v>334.17721518987344</v>
      </c>
      <c r="D183">
        <v>339.03710401648277</v>
      </c>
    </row>
    <row r="184" spans="1:5">
      <c r="A184" s="1" t="s">
        <v>914</v>
      </c>
      <c r="B184">
        <v>317.92846609512861</v>
      </c>
      <c r="C184">
        <v>302.11480362537765</v>
      </c>
      <c r="D184">
        <v>313.82316313823162</v>
      </c>
    </row>
    <row r="185" spans="1:5">
      <c r="A185" s="1" t="s">
        <v>915</v>
      </c>
      <c r="B185" t="e">
        <f>NA()</f>
        <v>#N/A</v>
      </c>
      <c r="C185">
        <v>442.36913246497915</v>
      </c>
      <c r="D185">
        <v>366.73882592639757</v>
      </c>
      <c r="E185" t="s">
        <v>49</v>
      </c>
    </row>
    <row r="186" spans="1:5">
      <c r="A186" s="1" t="s">
        <v>916</v>
      </c>
      <c r="B186">
        <v>411.41228128193114</v>
      </c>
      <c r="C186">
        <v>343.24089043651287</v>
      </c>
      <c r="D186">
        <v>336.9140625</v>
      </c>
    </row>
    <row r="187" spans="1:5">
      <c r="A187" t="s">
        <v>917</v>
      </c>
      <c r="B187">
        <v>342.50866517519023</v>
      </c>
      <c r="C187">
        <v>320.93734080489048</v>
      </c>
      <c r="D187">
        <v>321.14183764495988</v>
      </c>
    </row>
    <row r="188" spans="1:5">
      <c r="A188" t="s">
        <v>918</v>
      </c>
      <c r="B188">
        <v>321.53052536685533</v>
      </c>
      <c r="C188">
        <v>318.94696873813439</v>
      </c>
      <c r="D188">
        <v>320.54395337542496</v>
      </c>
    </row>
    <row r="189" spans="1:5">
      <c r="A189" t="s">
        <v>919</v>
      </c>
      <c r="B189">
        <v>322.9278068480117</v>
      </c>
      <c r="C189">
        <v>314.6460232238731</v>
      </c>
      <c r="D189">
        <v>310.07751937984494</v>
      </c>
    </row>
    <row r="190" spans="1:5">
      <c r="A190" t="s">
        <v>920</v>
      </c>
      <c r="B190">
        <v>329.67863894139884</v>
      </c>
      <c r="C190">
        <v>311.44562678432391</v>
      </c>
      <c r="D190">
        <v>314.01869158878503</v>
      </c>
    </row>
    <row r="191" spans="1:5">
      <c r="A191" s="1" t="s">
        <v>921</v>
      </c>
      <c r="B191">
        <v>337.72238415921197</v>
      </c>
      <c r="C191">
        <v>392.10940336439552</v>
      </c>
      <c r="D191">
        <v>392.96543359611888</v>
      </c>
    </row>
    <row r="192" spans="1:5">
      <c r="A192" s="1" t="s">
        <v>922</v>
      </c>
      <c r="B192">
        <v>347.56942662081002</v>
      </c>
      <c r="C192">
        <v>413.50970300661379</v>
      </c>
      <c r="D192">
        <v>368.05299963194699</v>
      </c>
    </row>
    <row r="193" spans="1:7">
      <c r="A193" s="1" t="s">
        <v>923</v>
      </c>
      <c r="B193">
        <v>357.69538563285437</v>
      </c>
      <c r="C193">
        <v>400.30792917628952</v>
      </c>
      <c r="D193">
        <v>373.20202151094986</v>
      </c>
    </row>
    <row r="194" spans="1:7">
      <c r="A194" s="1" t="s">
        <v>924</v>
      </c>
      <c r="B194">
        <v>344.14823312302053</v>
      </c>
      <c r="C194">
        <v>372.76341948310142</v>
      </c>
      <c r="D194">
        <v>377.35849056603774</v>
      </c>
    </row>
    <row r="195" spans="1:7">
      <c r="A195" s="1" t="s">
        <v>925</v>
      </c>
      <c r="B195">
        <v>344.62091699130957</v>
      </c>
      <c r="C195">
        <v>331.40848606577953</v>
      </c>
      <c r="D195">
        <v>353.2121832608139</v>
      </c>
    </row>
    <row r="196" spans="1:7">
      <c r="A196" s="1" t="s">
        <v>926</v>
      </c>
      <c r="B196">
        <v>374.71896077941545</v>
      </c>
      <c r="C196">
        <v>410.85840058694055</v>
      </c>
      <c r="D196">
        <v>411.56295933365999</v>
      </c>
    </row>
    <row r="197" spans="1:7">
      <c r="A197" s="1" t="s">
        <v>927</v>
      </c>
      <c r="B197">
        <v>401.0654872593858</v>
      </c>
      <c r="C197">
        <v>380.33041211085941</v>
      </c>
      <c r="D197">
        <v>351.77160336477186</v>
      </c>
    </row>
    <row r="198" spans="1:7">
      <c r="A198" s="1" t="s">
        <v>928</v>
      </c>
      <c r="B198">
        <v>348.34387793077786</v>
      </c>
      <c r="C198">
        <v>330</v>
      </c>
      <c r="D198">
        <v>317.22054380664656</v>
      </c>
    </row>
    <row r="199" spans="1:7">
      <c r="A199" s="1" t="s">
        <v>929</v>
      </c>
      <c r="B199">
        <v>343.62549800796813</v>
      </c>
      <c r="C199">
        <v>367.87247087676275</v>
      </c>
      <c r="D199">
        <v>420.99987470241825</v>
      </c>
    </row>
    <row r="200" spans="1:7">
      <c r="A200" s="1" t="s">
        <v>930</v>
      </c>
      <c r="B200">
        <v>327.64710302848124</v>
      </c>
      <c r="C200">
        <v>323.949093713845</v>
      </c>
      <c r="D200">
        <v>311.95840554592723</v>
      </c>
    </row>
    <row r="201" spans="1:7">
      <c r="A201" s="1" t="s">
        <v>931</v>
      </c>
      <c r="B201">
        <v>312.30449688446231</v>
      </c>
      <c r="C201">
        <v>312.90743155149937</v>
      </c>
      <c r="D201">
        <v>310.6891875231168</v>
      </c>
    </row>
    <row r="202" spans="1:7">
      <c r="A202" s="1" t="s">
        <v>932</v>
      </c>
      <c r="B202">
        <v>311.46272679627646</v>
      </c>
      <c r="C202">
        <v>324.15744790326733</v>
      </c>
      <c r="D202">
        <v>311.7513826154879</v>
      </c>
    </row>
    <row r="203" spans="1:7">
      <c r="A203" s="1" t="s">
        <v>933</v>
      </c>
      <c r="B203">
        <v>385.14996290971601</v>
      </c>
      <c r="C203">
        <v>371.14932574539154</v>
      </c>
      <c r="D203">
        <v>392.80765839526384</v>
      </c>
    </row>
    <row r="204" spans="1:7">
      <c r="A204" s="1" t="s">
        <v>934</v>
      </c>
      <c r="B204">
        <v>316.90140845070425</v>
      </c>
      <c r="C204">
        <v>310.47865459249675</v>
      </c>
      <c r="D204">
        <v>322.73838630806847</v>
      </c>
    </row>
    <row r="205" spans="1:7">
      <c r="A205" s="1" t="s">
        <v>935</v>
      </c>
      <c r="B205">
        <v>308.51390218550137</v>
      </c>
      <c r="C205" t="e">
        <f>NA()</f>
        <v>#N/A</v>
      </c>
      <c r="D205" t="e">
        <f>NA()</f>
        <v>#N/A</v>
      </c>
      <c r="F205" t="s">
        <v>15</v>
      </c>
      <c r="G205" t="s">
        <v>17</v>
      </c>
    </row>
    <row r="206" spans="1:7">
      <c r="A206" t="s">
        <v>936</v>
      </c>
      <c r="B206">
        <v>308.27555245173841</v>
      </c>
      <c r="C206" t="e">
        <f>NA()</f>
        <v>#N/A</v>
      </c>
      <c r="D206" t="e">
        <f>NA()</f>
        <v>#N/A</v>
      </c>
      <c r="F206" t="s">
        <v>17</v>
      </c>
      <c r="G206" t="s">
        <v>17</v>
      </c>
    </row>
    <row r="207" spans="1:7">
      <c r="A207" t="s">
        <v>937</v>
      </c>
      <c r="B207" t="e">
        <f>NA()</f>
        <v>#N/A</v>
      </c>
      <c r="C207">
        <v>366.73882592639757</v>
      </c>
      <c r="D207">
        <v>356.61218424962851</v>
      </c>
      <c r="E207" t="s">
        <v>72</v>
      </c>
    </row>
    <row r="208" spans="1:7">
      <c r="A208" t="s">
        <v>938</v>
      </c>
      <c r="B208">
        <v>347.73658515311058</v>
      </c>
      <c r="C208">
        <v>420.42042042042038</v>
      </c>
      <c r="D208">
        <v>411.51255358236375</v>
      </c>
    </row>
    <row r="209" spans="1:4">
      <c r="A209" t="s">
        <v>939</v>
      </c>
      <c r="B209">
        <v>423.44461684769004</v>
      </c>
      <c r="C209">
        <v>418.58726797059921</v>
      </c>
      <c r="D209">
        <v>410.9086462027638</v>
      </c>
    </row>
    <row r="210" spans="1:4">
      <c r="A210" s="1" t="s">
        <v>940</v>
      </c>
      <c r="B210">
        <v>392.69566086283129</v>
      </c>
      <c r="C210">
        <v>413.89882473173219</v>
      </c>
      <c r="D210">
        <v>389.70771921059207</v>
      </c>
    </row>
    <row r="211" spans="1:4">
      <c r="A211" s="1" t="s">
        <v>953</v>
      </c>
      <c r="B211">
        <v>338.55609854400728</v>
      </c>
      <c r="C211">
        <v>308.48329048843192</v>
      </c>
      <c r="D211">
        <v>306.43513789581203</v>
      </c>
    </row>
    <row r="212" spans="1:4">
      <c r="A212" s="1" t="s">
        <v>954</v>
      </c>
      <c r="B212">
        <v>379.0423665078967</v>
      </c>
      <c r="C212">
        <v>382.11692777990066</v>
      </c>
      <c r="D212">
        <v>426.26163645271924</v>
      </c>
    </row>
    <row r="213" spans="1:4">
      <c r="A213" s="1" t="s">
        <v>955</v>
      </c>
      <c r="B213">
        <v>423.19043569606322</v>
      </c>
      <c r="C213">
        <v>441.87029699903621</v>
      </c>
      <c r="D213">
        <v>400.7421150278293</v>
      </c>
    </row>
    <row r="214" spans="1:4">
      <c r="A214" s="1" t="s">
        <v>956</v>
      </c>
      <c r="B214">
        <v>436.80180745575495</v>
      </c>
      <c r="C214">
        <v>345.69138276553105</v>
      </c>
      <c r="D214">
        <v>331.74164362905253</v>
      </c>
    </row>
    <row r="215" spans="1:4">
      <c r="A215" s="1" t="s">
        <v>957</v>
      </c>
      <c r="B215">
        <v>352.50186706497385</v>
      </c>
      <c r="C215">
        <v>400.49443757725589</v>
      </c>
      <c r="D215">
        <v>427.91645440652064</v>
      </c>
    </row>
    <row r="216" spans="1:4">
      <c r="A216" s="1" t="s">
        <v>958</v>
      </c>
      <c r="B216">
        <v>347.1235131293484</v>
      </c>
      <c r="C216">
        <v>371.42120196027855</v>
      </c>
      <c r="D216">
        <v>330.57851239669424</v>
      </c>
    </row>
    <row r="217" spans="1:4">
      <c r="A217" s="1" t="s">
        <v>959</v>
      </c>
      <c r="B217">
        <v>384.10957544477805</v>
      </c>
      <c r="C217">
        <v>419.05712147667748</v>
      </c>
      <c r="D217">
        <v>442.07317073170731</v>
      </c>
    </row>
    <row r="218" spans="1:4">
      <c r="A218" t="s">
        <v>960</v>
      </c>
      <c r="B218">
        <v>405.53733697148726</v>
      </c>
      <c r="C218">
        <v>377.35849056603774</v>
      </c>
      <c r="D218">
        <v>395.18682710576314</v>
      </c>
    </row>
    <row r="219" spans="1:4">
      <c r="A219" t="s">
        <v>961</v>
      </c>
      <c r="B219">
        <v>367.7954698362862</v>
      </c>
      <c r="C219">
        <v>349.01365705614569</v>
      </c>
      <c r="D219">
        <v>355.11713933415541</v>
      </c>
    </row>
    <row r="220" spans="1:4">
      <c r="A220" t="s">
        <v>962</v>
      </c>
      <c r="B220">
        <v>311.19391711566544</v>
      </c>
      <c r="C220">
        <v>300.90270812437313</v>
      </c>
      <c r="D220">
        <v>297.06646862235425</v>
      </c>
    </row>
    <row r="221" spans="1:4">
      <c r="A221" t="s">
        <v>963</v>
      </c>
      <c r="B221">
        <v>339.09246023260073</v>
      </c>
      <c r="C221">
        <v>292.07740051113547</v>
      </c>
      <c r="D221">
        <v>293.02146253694895</v>
      </c>
    </row>
    <row r="222" spans="1:4">
      <c r="A222" s="1" t="s">
        <v>964</v>
      </c>
      <c r="B222">
        <v>293.98530073496329</v>
      </c>
      <c r="C222">
        <v>279.06976744186051</v>
      </c>
      <c r="D222">
        <v>279.58307786633969</v>
      </c>
    </row>
    <row r="223" spans="1:4">
      <c r="A223" s="1"/>
    </row>
    <row r="224" spans="1:4">
      <c r="A224" s="4" t="s">
        <v>18</v>
      </c>
      <c r="B224">
        <v>99</v>
      </c>
    </row>
    <row r="225" spans="1:7">
      <c r="A225" s="4" t="s">
        <v>191</v>
      </c>
      <c r="B225">
        <v>48</v>
      </c>
    </row>
    <row r="226" spans="1:7">
      <c r="A226" s="4" t="s">
        <v>192</v>
      </c>
      <c r="B226">
        <v>51</v>
      </c>
    </row>
    <row r="227" spans="1:7">
      <c r="A227" s="6" t="s">
        <v>193</v>
      </c>
      <c r="B227">
        <v>48.484848484848484</v>
      </c>
    </row>
    <row r="228" spans="1:7">
      <c r="A228" s="1"/>
    </row>
    <row r="229" spans="1:7">
      <c r="A229" s="3" t="s">
        <v>19</v>
      </c>
      <c r="B229">
        <v>0.32409874237131087</v>
      </c>
    </row>
    <row r="230" spans="1:7">
      <c r="A230" t="s">
        <v>20</v>
      </c>
      <c r="B230">
        <v>357.42226732722503</v>
      </c>
    </row>
    <row r="231" spans="1:7">
      <c r="A231" t="s">
        <v>23</v>
      </c>
      <c r="B231">
        <v>18.905614703765256</v>
      </c>
    </row>
    <row r="232" spans="1:7">
      <c r="A232" t="s">
        <v>24</v>
      </c>
      <c r="B232">
        <v>1.9000857698004667</v>
      </c>
    </row>
    <row r="233" spans="1:7">
      <c r="A233" s="1" t="s">
        <v>21</v>
      </c>
      <c r="B233">
        <v>0.17057058556116936</v>
      </c>
    </row>
    <row r="234" spans="1:7">
      <c r="A234" s="4" t="s">
        <v>22</v>
      </c>
      <c r="B234">
        <f>TDIST(ABS(B233),98,1)</f>
        <v>0.43245654408819578</v>
      </c>
    </row>
    <row r="235" spans="1:7">
      <c r="A235" s="1"/>
    </row>
    <row r="236" spans="1:7">
      <c r="A236" s="5" t="s">
        <v>73</v>
      </c>
    </row>
    <row r="237" spans="1:7">
      <c r="A237" s="4" t="s">
        <v>7</v>
      </c>
      <c r="B237" s="3" t="s">
        <v>8</v>
      </c>
      <c r="C237" s="3" t="s">
        <v>9</v>
      </c>
      <c r="D237" s="3" t="s">
        <v>10</v>
      </c>
      <c r="E237" s="3" t="s">
        <v>11</v>
      </c>
      <c r="F237" s="3" t="s">
        <v>12</v>
      </c>
      <c r="G237" s="3" t="s">
        <v>13</v>
      </c>
    </row>
    <row r="238" spans="1:7">
      <c r="A238" s="1" t="s">
        <v>731</v>
      </c>
      <c r="B238">
        <v>375.34274518240426</v>
      </c>
      <c r="C238">
        <v>335.49370949294706</v>
      </c>
      <c r="D238">
        <v>334.89788151718892</v>
      </c>
    </row>
    <row r="239" spans="1:7">
      <c r="A239" s="1" t="s">
        <v>732</v>
      </c>
      <c r="B239">
        <v>346.32896275470853</v>
      </c>
      <c r="C239">
        <v>380.20960272970996</v>
      </c>
      <c r="D239">
        <v>368.86757654002213</v>
      </c>
    </row>
    <row r="240" spans="1:7">
      <c r="A240" s="1" t="s">
        <v>733</v>
      </c>
      <c r="B240">
        <v>343.38211300484448</v>
      </c>
      <c r="C240">
        <v>334.22136110438362</v>
      </c>
      <c r="D240">
        <v>332.82904689863841</v>
      </c>
    </row>
    <row r="241" spans="1:5">
      <c r="A241" t="s">
        <v>734</v>
      </c>
      <c r="B241">
        <v>346.60303905563234</v>
      </c>
      <c r="C241">
        <v>335.97078514911749</v>
      </c>
      <c r="D241">
        <v>343.79671150971598</v>
      </c>
    </row>
    <row r="242" spans="1:5">
      <c r="A242" t="s">
        <v>735</v>
      </c>
      <c r="B242">
        <v>396.96471712136133</v>
      </c>
      <c r="C242">
        <v>376.50602409638554</v>
      </c>
      <c r="D242">
        <v>399.53899346907417</v>
      </c>
    </row>
    <row r="243" spans="1:5">
      <c r="A243" t="s">
        <v>736</v>
      </c>
      <c r="B243">
        <v>371.74906937816974</v>
      </c>
      <c r="C243">
        <v>323.24268855823499</v>
      </c>
      <c r="D243">
        <v>330.82706766917289</v>
      </c>
    </row>
    <row r="244" spans="1:5">
      <c r="A244" t="s">
        <v>737</v>
      </c>
      <c r="B244">
        <v>375.45993842457005</v>
      </c>
      <c r="C244">
        <v>327.78743481499873</v>
      </c>
      <c r="D244">
        <v>323.24268855823499</v>
      </c>
    </row>
    <row r="245" spans="1:5">
      <c r="A245" s="1" t="s">
        <v>738</v>
      </c>
      <c r="B245">
        <v>318.38205847016417</v>
      </c>
      <c r="C245">
        <v>324.38814467258118</v>
      </c>
      <c r="D245">
        <v>322.86995515695071</v>
      </c>
    </row>
    <row r="246" spans="1:5">
      <c r="A246" s="1" t="s">
        <v>739</v>
      </c>
      <c r="B246" t="e">
        <f>NA()</f>
        <v>#N/A</v>
      </c>
      <c r="C246">
        <v>326.49023002720753</v>
      </c>
      <c r="D246">
        <v>325.72486119679212</v>
      </c>
      <c r="E246" t="s">
        <v>15</v>
      </c>
    </row>
    <row r="247" spans="1:5">
      <c r="A247" s="1" t="s">
        <v>740</v>
      </c>
      <c r="B247">
        <v>329.41294985770776</v>
      </c>
      <c r="C247">
        <v>329.54687304955684</v>
      </c>
      <c r="D247">
        <v>316.781898177247</v>
      </c>
    </row>
    <row r="248" spans="1:5">
      <c r="A248" s="1" t="s">
        <v>741</v>
      </c>
      <c r="B248">
        <v>312.76627737957995</v>
      </c>
      <c r="C248">
        <v>327.58406750217148</v>
      </c>
      <c r="D248">
        <v>315.71034828363815</v>
      </c>
    </row>
    <row r="249" spans="1:5">
      <c r="A249" s="1" t="s">
        <v>742</v>
      </c>
      <c r="B249">
        <v>338.21365325617938</v>
      </c>
      <c r="C249">
        <v>326.24814631735046</v>
      </c>
      <c r="D249">
        <v>324.07407407407408</v>
      </c>
    </row>
    <row r="250" spans="1:5">
      <c r="A250" s="1" t="s">
        <v>815</v>
      </c>
      <c r="B250">
        <v>333.96850867515798</v>
      </c>
      <c r="C250">
        <v>329.46461999251216</v>
      </c>
      <c r="D250">
        <v>331.99195171026156</v>
      </c>
    </row>
    <row r="251" spans="1:5">
      <c r="A251" s="1" t="s">
        <v>816</v>
      </c>
      <c r="B251">
        <v>328.76712328767121</v>
      </c>
      <c r="C251">
        <v>327.58406750217148</v>
      </c>
      <c r="D251">
        <v>335.62166285278414</v>
      </c>
    </row>
    <row r="252" spans="1:5">
      <c r="A252" s="1" t="s">
        <v>817</v>
      </c>
      <c r="B252">
        <v>327.81133304929699</v>
      </c>
      <c r="C252">
        <v>323.48976841073397</v>
      </c>
      <c r="D252">
        <v>339.76833976833979</v>
      </c>
    </row>
    <row r="253" spans="1:5">
      <c r="A253" s="1" t="s">
        <v>818</v>
      </c>
      <c r="B253">
        <v>359.09294219135836</v>
      </c>
      <c r="C253">
        <v>374.29819089207734</v>
      </c>
      <c r="D253">
        <v>419.42329297216327</v>
      </c>
    </row>
    <row r="254" spans="1:5">
      <c r="A254" s="1" t="s">
        <v>819</v>
      </c>
      <c r="B254">
        <v>325.11351378471267</v>
      </c>
      <c r="C254">
        <v>315.07876969242312</v>
      </c>
      <c r="D254">
        <v>308.33231371589375</v>
      </c>
    </row>
    <row r="255" spans="1:5">
      <c r="A255" t="s">
        <v>820</v>
      </c>
      <c r="B255">
        <v>305.38197943962911</v>
      </c>
      <c r="C255">
        <v>298.47033951001117</v>
      </c>
      <c r="D255">
        <v>297.47149231531978</v>
      </c>
    </row>
    <row r="256" spans="1:5">
      <c r="A256" t="s">
        <v>821</v>
      </c>
      <c r="B256">
        <v>365.68002997377295</v>
      </c>
      <c r="C256">
        <v>307.7674645823156</v>
      </c>
      <c r="D256">
        <v>300.41306796845663</v>
      </c>
    </row>
    <row r="257" spans="1:4">
      <c r="A257" t="s">
        <v>822</v>
      </c>
      <c r="B257">
        <v>305.60762287003718</v>
      </c>
      <c r="C257">
        <v>289.78139298423997</v>
      </c>
      <c r="D257">
        <v>289.74456728936337</v>
      </c>
    </row>
    <row r="258" spans="1:4">
      <c r="A258" t="s">
        <v>823</v>
      </c>
      <c r="B258">
        <v>396.20252664291934</v>
      </c>
      <c r="C258">
        <v>443.40436014287474</v>
      </c>
      <c r="D258">
        <v>450.67601402103156</v>
      </c>
    </row>
    <row r="259" spans="1:4">
      <c r="A259" s="1" t="s">
        <v>824</v>
      </c>
      <c r="B259">
        <v>410.00573608998178</v>
      </c>
      <c r="C259">
        <v>438.83984867591431</v>
      </c>
      <c r="D259">
        <v>404.79760119940033</v>
      </c>
    </row>
    <row r="260" spans="1:4">
      <c r="A260" s="1" t="s">
        <v>825</v>
      </c>
      <c r="B260">
        <v>380.67642503871707</v>
      </c>
      <c r="C260">
        <v>395.33705017739481</v>
      </c>
      <c r="D260">
        <v>356.54308228910992</v>
      </c>
    </row>
    <row r="261" spans="1:4">
      <c r="A261" s="1" t="s">
        <v>826</v>
      </c>
      <c r="B261">
        <v>386.10246671894572</v>
      </c>
      <c r="C261">
        <v>409.81533012901593</v>
      </c>
      <c r="D261">
        <v>383.81104686923356</v>
      </c>
    </row>
    <row r="262" spans="1:4">
      <c r="A262" s="1"/>
    </row>
    <row r="263" spans="1:4">
      <c r="A263" s="4" t="s">
        <v>18</v>
      </c>
      <c r="B263">
        <v>24</v>
      </c>
    </row>
    <row r="264" spans="1:4">
      <c r="A264" s="4" t="s">
        <v>191</v>
      </c>
      <c r="B264">
        <v>16</v>
      </c>
    </row>
    <row r="265" spans="1:4">
      <c r="A265" s="4" t="s">
        <v>192</v>
      </c>
      <c r="B265">
        <v>8</v>
      </c>
    </row>
    <row r="266" spans="1:4">
      <c r="A266" s="6" t="s">
        <v>193</v>
      </c>
      <c r="B266">
        <v>66.666666666666671</v>
      </c>
    </row>
    <row r="267" spans="1:4">
      <c r="A267" s="1"/>
    </row>
    <row r="268" spans="1:4">
      <c r="A268" s="4" t="s">
        <v>19</v>
      </c>
      <c r="B268">
        <v>1.8026972576759288</v>
      </c>
    </row>
    <row r="269" spans="1:4">
      <c r="A269" s="1" t="s">
        <v>20</v>
      </c>
      <c r="B269">
        <v>300.01015132859311</v>
      </c>
    </row>
    <row r="270" spans="1:4">
      <c r="A270" s="1" t="s">
        <v>23</v>
      </c>
      <c r="B270">
        <v>17.320801116824622</v>
      </c>
    </row>
    <row r="271" spans="1:4">
      <c r="A271" s="1" t="s">
        <v>24</v>
      </c>
      <c r="B271">
        <v>3.5355937227041108</v>
      </c>
    </row>
    <row r="272" spans="1:4">
      <c r="A272" s="1" t="s">
        <v>21</v>
      </c>
      <c r="B272">
        <v>0.50987115575518693</v>
      </c>
    </row>
    <row r="273" spans="1:7">
      <c r="A273" s="4" t="s">
        <v>22</v>
      </c>
      <c r="B273">
        <f>TDIST(ABS(B272),23,1)</f>
        <v>0.30749988708402798</v>
      </c>
    </row>
    <row r="275" spans="1:7">
      <c r="A275" s="2" t="s">
        <v>74</v>
      </c>
    </row>
    <row r="276" spans="1:7">
      <c r="A276" s="3" t="s">
        <v>7</v>
      </c>
      <c r="B276" s="3" t="s">
        <v>8</v>
      </c>
      <c r="C276" s="3" t="s">
        <v>9</v>
      </c>
      <c r="D276" s="3" t="s">
        <v>10</v>
      </c>
      <c r="E276" s="3" t="s">
        <v>11</v>
      </c>
      <c r="F276" s="3" t="s">
        <v>12</v>
      </c>
      <c r="G276" s="3" t="s">
        <v>13</v>
      </c>
    </row>
    <row r="277" spans="1:7">
      <c r="A277" t="s">
        <v>857</v>
      </c>
      <c r="B277">
        <v>351.75627599338577</v>
      </c>
      <c r="C277">
        <v>343.36899726300072</v>
      </c>
      <c r="D277">
        <v>337.90401567091089</v>
      </c>
    </row>
    <row r="278" spans="1:7">
      <c r="A278" s="1" t="s">
        <v>858</v>
      </c>
      <c r="B278">
        <v>347.921717613537</v>
      </c>
      <c r="C278">
        <v>330.57851239669424</v>
      </c>
      <c r="D278">
        <v>326.84824902723733</v>
      </c>
    </row>
    <row r="279" spans="1:7">
      <c r="A279" s="1" t="s">
        <v>859</v>
      </c>
      <c r="B279">
        <v>341.18975766981242</v>
      </c>
      <c r="C279">
        <v>318.62435200404605</v>
      </c>
      <c r="D279">
        <v>321.9904866447128</v>
      </c>
    </row>
    <row r="280" spans="1:7">
      <c r="A280" s="1" t="s">
        <v>860</v>
      </c>
      <c r="B280">
        <v>314.7846648190777</v>
      </c>
      <c r="C280">
        <v>317.26048092660204</v>
      </c>
      <c r="D280">
        <v>319.39163498098856</v>
      </c>
    </row>
    <row r="281" spans="1:7">
      <c r="A281" s="1" t="s">
        <v>861</v>
      </c>
      <c r="B281">
        <v>372.62539485574086</v>
      </c>
      <c r="C281">
        <v>341.65911738061345</v>
      </c>
      <c r="D281">
        <v>356.30335271557584</v>
      </c>
    </row>
    <row r="282" spans="1:7">
      <c r="A282" s="1" t="s">
        <v>862</v>
      </c>
      <c r="B282">
        <v>323.91092449576365</v>
      </c>
      <c r="C282">
        <v>315</v>
      </c>
      <c r="D282">
        <v>312.26765799256503</v>
      </c>
    </row>
    <row r="283" spans="1:7">
      <c r="A283" s="1" t="s">
        <v>863</v>
      </c>
      <c r="B283">
        <v>312.22123104371099</v>
      </c>
      <c r="C283">
        <v>306.23405030987971</v>
      </c>
      <c r="D283">
        <v>311.95840554592723</v>
      </c>
    </row>
    <row r="284" spans="1:7">
      <c r="A284" s="1" t="s">
        <v>864</v>
      </c>
      <c r="B284">
        <v>310.3628360398896</v>
      </c>
      <c r="C284">
        <v>301.7349761126477</v>
      </c>
      <c r="D284">
        <v>305.26583566522515</v>
      </c>
    </row>
    <row r="285" spans="1:7">
      <c r="A285" s="1" t="s">
        <v>865</v>
      </c>
      <c r="B285">
        <v>393.12923613800064</v>
      </c>
      <c r="C285">
        <v>373.69207772795215</v>
      </c>
      <c r="D285">
        <v>408.67810292633703</v>
      </c>
    </row>
    <row r="286" spans="1:7">
      <c r="A286" s="1" t="s">
        <v>866</v>
      </c>
      <c r="B286">
        <v>356.3318777292576</v>
      </c>
      <c r="C286">
        <v>407.39343643907961</v>
      </c>
      <c r="D286">
        <v>362.44651396929277</v>
      </c>
    </row>
    <row r="287" spans="1:7">
      <c r="A287" s="1" t="s">
        <v>867</v>
      </c>
      <c r="B287">
        <v>355.35082693053141</v>
      </c>
      <c r="C287">
        <v>324.36607027931524</v>
      </c>
      <c r="D287">
        <v>317.46031746031747</v>
      </c>
    </row>
    <row r="288" spans="1:7">
      <c r="A288" s="1" t="s">
        <v>868</v>
      </c>
      <c r="B288">
        <v>342.25694889201998</v>
      </c>
      <c r="C288">
        <v>315.82905125955631</v>
      </c>
      <c r="D288">
        <v>302.76270972625207</v>
      </c>
    </row>
    <row r="289" spans="1:7">
      <c r="A289" s="1" t="s">
        <v>941</v>
      </c>
      <c r="B289" t="e">
        <f>NA()</f>
        <v>#N/A</v>
      </c>
      <c r="C289">
        <v>354.417917794733</v>
      </c>
      <c r="D289">
        <v>333.92360232734632</v>
      </c>
      <c r="E289" t="s">
        <v>29</v>
      </c>
    </row>
    <row r="290" spans="1:7">
      <c r="A290" s="1" t="s">
        <v>942</v>
      </c>
      <c r="B290">
        <v>333.84668885687313</v>
      </c>
      <c r="C290">
        <v>323.92638036809814</v>
      </c>
      <c r="D290">
        <v>324.24465733235081</v>
      </c>
    </row>
    <row r="291" spans="1:7">
      <c r="A291" s="1" t="s">
        <v>943</v>
      </c>
      <c r="B291">
        <v>325.3974177177401</v>
      </c>
      <c r="C291">
        <v>316.94126524965412</v>
      </c>
      <c r="D291">
        <v>326.91195722969331</v>
      </c>
    </row>
    <row r="292" spans="1:7">
      <c r="A292" s="1" t="s">
        <v>944</v>
      </c>
      <c r="B292">
        <v>361.31087167491978</v>
      </c>
      <c r="C292">
        <v>319.45788964181992</v>
      </c>
      <c r="D292">
        <v>342.55926523519918</v>
      </c>
    </row>
    <row r="293" spans="1:7">
      <c r="A293" s="1" t="s">
        <v>945</v>
      </c>
      <c r="B293">
        <v>342.56776884122729</v>
      </c>
      <c r="C293">
        <v>304.82641828958509</v>
      </c>
      <c r="D293">
        <v>303.6144578313253</v>
      </c>
    </row>
    <row r="294" spans="1:7">
      <c r="A294" t="s">
        <v>946</v>
      </c>
      <c r="B294">
        <v>331.45735373138206</v>
      </c>
      <c r="C294">
        <v>295.09406123201768</v>
      </c>
      <c r="D294">
        <v>292.00632680374741</v>
      </c>
    </row>
    <row r="295" spans="1:7">
      <c r="A295" t="s">
        <v>947</v>
      </c>
      <c r="B295">
        <v>409.10458237240545</v>
      </c>
      <c r="C295">
        <v>407.39343643907961</v>
      </c>
      <c r="D295">
        <v>373.13432835820896</v>
      </c>
    </row>
    <row r="296" spans="1:7">
      <c r="A296" t="s">
        <v>948</v>
      </c>
      <c r="B296">
        <v>425.35183239752706</v>
      </c>
      <c r="C296">
        <v>395.17014270032934</v>
      </c>
      <c r="D296">
        <v>433.86111457424266</v>
      </c>
    </row>
    <row r="297" spans="1:7">
      <c r="A297" t="s">
        <v>949</v>
      </c>
      <c r="B297">
        <v>341.11310592459603</v>
      </c>
      <c r="C297">
        <v>323.62476853863478</v>
      </c>
      <c r="D297" t="e">
        <f>NA()</f>
        <v>#N/A</v>
      </c>
      <c r="G297" t="s">
        <v>17</v>
      </c>
    </row>
    <row r="298" spans="1:7">
      <c r="A298" s="1" t="s">
        <v>950</v>
      </c>
      <c r="B298">
        <v>314.26148550905373</v>
      </c>
      <c r="C298">
        <v>368.09815950920245</v>
      </c>
      <c r="D298">
        <v>400.84127180502287</v>
      </c>
    </row>
    <row r="299" spans="1:7">
      <c r="A299" s="1" t="s">
        <v>951</v>
      </c>
      <c r="B299">
        <v>369.64688204357628</v>
      </c>
      <c r="C299">
        <v>346.99522252954489</v>
      </c>
      <c r="D299">
        <v>422.48391404637607</v>
      </c>
    </row>
    <row r="300" spans="1:7">
      <c r="A300" s="1" t="s">
        <v>952</v>
      </c>
      <c r="B300">
        <v>358.24539315442945</v>
      </c>
      <c r="C300">
        <v>408.78122634367907</v>
      </c>
      <c r="D300">
        <v>424.34958322808785</v>
      </c>
    </row>
    <row r="301" spans="1:7">
      <c r="A301" s="1"/>
    </row>
    <row r="302" spans="1:7">
      <c r="A302" s="4" t="s">
        <v>18</v>
      </c>
      <c r="B302">
        <v>23</v>
      </c>
    </row>
    <row r="303" spans="1:7">
      <c r="A303" s="4" t="s">
        <v>191</v>
      </c>
      <c r="B303">
        <v>10</v>
      </c>
    </row>
    <row r="304" spans="1:7">
      <c r="A304" s="3" t="s">
        <v>192</v>
      </c>
      <c r="B304">
        <v>13</v>
      </c>
    </row>
    <row r="305" spans="1:7">
      <c r="A305" s="6" t="s">
        <v>193</v>
      </c>
      <c r="B305">
        <v>43.478260869565219</v>
      </c>
    </row>
    <row r="307" spans="1:7">
      <c r="A307" s="3" t="s">
        <v>19</v>
      </c>
      <c r="B307">
        <v>-5.4071529956440187</v>
      </c>
    </row>
    <row r="308" spans="1:7">
      <c r="A308" s="1" t="s">
        <v>20</v>
      </c>
      <c r="B308">
        <v>630.22416233567787</v>
      </c>
    </row>
    <row r="309" spans="1:7">
      <c r="A309" s="1" t="s">
        <v>23</v>
      </c>
      <c r="B309">
        <v>25.104265819491275</v>
      </c>
    </row>
    <row r="310" spans="1:7">
      <c r="A310" s="1" t="s">
        <v>24</v>
      </c>
      <c r="B310">
        <v>5.2346012776842725</v>
      </c>
    </row>
    <row r="311" spans="1:7">
      <c r="A311" s="1" t="s">
        <v>21</v>
      </c>
      <c r="B311">
        <v>-1.0329636793341557</v>
      </c>
    </row>
    <row r="312" spans="1:7">
      <c r="A312" s="3" t="s">
        <v>22</v>
      </c>
      <c r="B312">
        <f>TDIST(ABS(B311),22,1)</f>
        <v>0.15642166166494109</v>
      </c>
    </row>
    <row r="314" spans="1:7">
      <c r="A314" s="2" t="s">
        <v>75</v>
      </c>
    </row>
    <row r="315" spans="1:7">
      <c r="A315" s="3" t="s">
        <v>7</v>
      </c>
      <c r="B315" s="3" t="s">
        <v>8</v>
      </c>
      <c r="C315" s="3" t="s">
        <v>9</v>
      </c>
      <c r="D315" s="3" t="s">
        <v>10</v>
      </c>
      <c r="E315" s="3" t="s">
        <v>11</v>
      </c>
      <c r="F315" s="3" t="s">
        <v>12</v>
      </c>
      <c r="G315" s="3" t="s">
        <v>13</v>
      </c>
    </row>
    <row r="316" spans="1:7">
      <c r="A316" s="1" t="s">
        <v>965</v>
      </c>
      <c r="B316">
        <v>335.8404757740073</v>
      </c>
      <c r="C316">
        <v>310.6891875231168</v>
      </c>
      <c r="D316">
        <v>316.02708803611739</v>
      </c>
    </row>
    <row r="317" spans="1:7">
      <c r="A317" s="1" t="s">
        <v>966</v>
      </c>
      <c r="B317">
        <v>352.43167902832397</v>
      </c>
      <c r="C317">
        <v>310.96138896087069</v>
      </c>
      <c r="D317">
        <v>317.90084521256466</v>
      </c>
    </row>
    <row r="318" spans="1:7">
      <c r="A318" s="1" t="s">
        <v>967</v>
      </c>
      <c r="B318">
        <v>314.52820768846732</v>
      </c>
      <c r="C318">
        <v>320.2717457236443</v>
      </c>
      <c r="D318">
        <v>337.892948173322</v>
      </c>
    </row>
    <row r="319" spans="1:7">
      <c r="A319" s="1" t="s">
        <v>968</v>
      </c>
      <c r="B319">
        <v>345.42314335060445</v>
      </c>
      <c r="C319">
        <v>328.11334824757643</v>
      </c>
      <c r="D319">
        <v>341.88034188034186</v>
      </c>
    </row>
    <row r="320" spans="1:7">
      <c r="A320" s="1"/>
    </row>
    <row r="321" spans="1:7">
      <c r="A321" s="4" t="s">
        <v>18</v>
      </c>
      <c r="B321">
        <v>4</v>
      </c>
    </row>
    <row r="322" spans="1:7">
      <c r="A322" s="4" t="s">
        <v>191</v>
      </c>
      <c r="B322">
        <v>0</v>
      </c>
    </row>
    <row r="323" spans="1:7">
      <c r="A323" s="4" t="s">
        <v>192</v>
      </c>
      <c r="B323">
        <v>4</v>
      </c>
    </row>
    <row r="324" spans="1:7">
      <c r="A324" s="6" t="s">
        <v>193</v>
      </c>
      <c r="B324">
        <v>0</v>
      </c>
    </row>
    <row r="325" spans="1:7">
      <c r="A325" s="1"/>
    </row>
    <row r="326" spans="1:7">
      <c r="A326" s="4" t="s">
        <v>19</v>
      </c>
      <c r="B326">
        <v>-10.916388211784422</v>
      </c>
    </row>
    <row r="327" spans="1:7">
      <c r="A327" s="1" t="s">
        <v>20</v>
      </c>
      <c r="B327">
        <v>33.338666017151375</v>
      </c>
    </row>
    <row r="328" spans="1:7">
      <c r="A328" s="1" t="s">
        <v>23</v>
      </c>
      <c r="B328">
        <v>5.7739644973927033</v>
      </c>
    </row>
    <row r="329" spans="1:7">
      <c r="A329" s="1" t="s">
        <v>24</v>
      </c>
      <c r="B329">
        <v>2.8869822486963517</v>
      </c>
    </row>
    <row r="330" spans="1:7">
      <c r="A330" s="1" t="s">
        <v>21</v>
      </c>
      <c r="B330">
        <v>-3.781245352898805</v>
      </c>
    </row>
    <row r="331" spans="1:7">
      <c r="A331" s="4" t="s">
        <v>22</v>
      </c>
      <c r="B331">
        <f>TDIST(ABS(B330),3,1)</f>
        <v>1.6207948012559478E-2</v>
      </c>
    </row>
    <row r="332" spans="1:7">
      <c r="A332" s="1"/>
    </row>
    <row r="333" spans="1:7">
      <c r="A333" s="2" t="s">
        <v>76</v>
      </c>
    </row>
    <row r="334" spans="1:7">
      <c r="A334" s="3" t="s">
        <v>7</v>
      </c>
      <c r="B334" s="3" t="s">
        <v>8</v>
      </c>
      <c r="C334" s="3" t="s">
        <v>9</v>
      </c>
      <c r="D334" s="3" t="s">
        <v>10</v>
      </c>
      <c r="E334" s="3" t="s">
        <v>11</v>
      </c>
      <c r="F334" s="3" t="s">
        <v>12</v>
      </c>
      <c r="G334" s="3" t="s">
        <v>13</v>
      </c>
    </row>
    <row r="335" spans="1:7">
      <c r="A335" t="s">
        <v>973</v>
      </c>
      <c r="B335">
        <v>321.85963343763967</v>
      </c>
      <c r="C335">
        <v>320.12195121951214</v>
      </c>
      <c r="D335">
        <v>331.61663107649798</v>
      </c>
    </row>
    <row r="336" spans="1:7">
      <c r="A336" t="s">
        <v>974</v>
      </c>
      <c r="B336">
        <v>331.3752071095044</v>
      </c>
      <c r="C336">
        <v>303.951367781155</v>
      </c>
      <c r="D336">
        <v>298.5445950988929</v>
      </c>
    </row>
    <row r="337" spans="1:4">
      <c r="A337" s="1" t="s">
        <v>975</v>
      </c>
      <c r="B337">
        <v>324.35679247171885</v>
      </c>
      <c r="C337">
        <v>317.18061674008811</v>
      </c>
      <c r="D337">
        <v>305.77143585170086</v>
      </c>
    </row>
    <row r="338" spans="1:4">
      <c r="A338" s="1" t="s">
        <v>976</v>
      </c>
      <c r="B338">
        <v>335.99160020999477</v>
      </c>
      <c r="C338">
        <v>297.14583604848173</v>
      </c>
      <c r="D338">
        <v>299.58806640868806</v>
      </c>
    </row>
    <row r="339" spans="1:4">
      <c r="A339" s="1"/>
    </row>
    <row r="340" spans="1:4">
      <c r="A340" s="4" t="s">
        <v>18</v>
      </c>
      <c r="B340">
        <v>4</v>
      </c>
    </row>
    <row r="341" spans="1:4">
      <c r="A341" s="4" t="s">
        <v>191</v>
      </c>
      <c r="B341">
        <v>2</v>
      </c>
    </row>
    <row r="342" spans="1:4">
      <c r="A342" s="4" t="s">
        <v>192</v>
      </c>
      <c r="B342">
        <v>2</v>
      </c>
    </row>
    <row r="343" spans="1:4">
      <c r="A343" s="6" t="s">
        <v>193</v>
      </c>
      <c r="B343">
        <v>50</v>
      </c>
    </row>
    <row r="344" spans="1:4">
      <c r="A344" s="1"/>
    </row>
    <row r="345" spans="1:4">
      <c r="A345" s="4" t="s">
        <v>19</v>
      </c>
      <c r="B345">
        <v>0.71976083836429439</v>
      </c>
    </row>
    <row r="346" spans="1:4">
      <c r="A346" s="1" t="s">
        <v>20</v>
      </c>
      <c r="B346">
        <v>98.474176956911592</v>
      </c>
    </row>
    <row r="347" spans="1:4">
      <c r="A347" s="1" t="s">
        <v>23</v>
      </c>
      <c r="B347">
        <v>9.9234155892470604</v>
      </c>
    </row>
    <row r="348" spans="1:4">
      <c r="A348" s="1" t="s">
        <v>24</v>
      </c>
      <c r="B348">
        <v>4.9617077946235302</v>
      </c>
    </row>
    <row r="349" spans="1:4">
      <c r="A349" s="1" t="s">
        <v>21</v>
      </c>
      <c r="B349">
        <v>0.14506312506839317</v>
      </c>
    </row>
    <row r="350" spans="1:4">
      <c r="A350" s="4" t="s">
        <v>22</v>
      </c>
      <c r="B350">
        <f>TDIST(ABS(B349),3,1)</f>
        <v>0.44692944010478453</v>
      </c>
    </row>
    <row r="352" spans="1:4">
      <c r="A352" s="2" t="s">
        <v>1763</v>
      </c>
    </row>
    <row r="353" spans="1:7">
      <c r="A353" s="3" t="s">
        <v>7</v>
      </c>
      <c r="B353" s="3" t="s">
        <v>8</v>
      </c>
      <c r="C353" s="3" t="s">
        <v>9</v>
      </c>
      <c r="D353" s="3" t="s">
        <v>10</v>
      </c>
      <c r="E353" s="3" t="s">
        <v>11</v>
      </c>
      <c r="F353" s="3" t="s">
        <v>12</v>
      </c>
      <c r="G353" s="3" t="s">
        <v>13</v>
      </c>
    </row>
    <row r="354" spans="1:7">
      <c r="A354" t="s">
        <v>969</v>
      </c>
      <c r="B354">
        <v>374.53183520599254</v>
      </c>
      <c r="C354">
        <v>379.23909079859004</v>
      </c>
      <c r="D354">
        <v>341.61490683229812</v>
      </c>
    </row>
    <row r="355" spans="1:7">
      <c r="A355" s="1" t="s">
        <v>970</v>
      </c>
      <c r="B355">
        <v>356.06986751795677</v>
      </c>
      <c r="C355">
        <v>331.61119788537792</v>
      </c>
      <c r="D355">
        <v>342.47425238863383</v>
      </c>
    </row>
    <row r="356" spans="1:7">
      <c r="A356" s="1" t="s">
        <v>971</v>
      </c>
      <c r="B356">
        <v>326.56729832971314</v>
      </c>
      <c r="C356">
        <v>307.41642116049701</v>
      </c>
      <c r="D356">
        <v>305.49898167006108</v>
      </c>
    </row>
    <row r="357" spans="1:7">
      <c r="A357" t="s">
        <v>972</v>
      </c>
      <c r="B357">
        <v>356.86617518430586</v>
      </c>
      <c r="C357">
        <v>307.42954739538857</v>
      </c>
      <c r="D357">
        <v>319.53522149600582</v>
      </c>
    </row>
    <row r="359" spans="1:7">
      <c r="A359" s="3" t="s">
        <v>18</v>
      </c>
      <c r="B359">
        <v>4</v>
      </c>
    </row>
    <row r="360" spans="1:7">
      <c r="A360" s="3" t="s">
        <v>191</v>
      </c>
      <c r="B360">
        <v>2</v>
      </c>
    </row>
    <row r="361" spans="1:7">
      <c r="A361" s="4" t="s">
        <v>192</v>
      </c>
      <c r="B361">
        <v>2</v>
      </c>
    </row>
    <row r="362" spans="1:7">
      <c r="A362" s="6" t="s">
        <v>193</v>
      </c>
      <c r="B362">
        <v>50</v>
      </c>
    </row>
    <row r="364" spans="1:7">
      <c r="A364" s="3" t="s">
        <v>19</v>
      </c>
      <c r="B364">
        <v>4.143223713213672</v>
      </c>
    </row>
    <row r="365" spans="1:7">
      <c r="A365" t="s">
        <v>20</v>
      </c>
      <c r="B365">
        <v>538.38129364966028</v>
      </c>
    </row>
    <row r="366" spans="1:7">
      <c r="A366" t="s">
        <v>23</v>
      </c>
      <c r="B366">
        <v>23.203044921942041</v>
      </c>
    </row>
    <row r="367" spans="1:7">
      <c r="A367" s="1" t="s">
        <v>24</v>
      </c>
      <c r="B367">
        <v>11.601522460971021</v>
      </c>
    </row>
    <row r="368" spans="1:7">
      <c r="A368" t="s">
        <v>21</v>
      </c>
      <c r="B368">
        <v>0.35712758624154695</v>
      </c>
    </row>
    <row r="369" spans="1:7">
      <c r="A369" s="3" t="s">
        <v>22</v>
      </c>
      <c r="B369">
        <f>TDIST(ABS(B368),3,1)</f>
        <v>0.37232031029625123</v>
      </c>
    </row>
    <row r="371" spans="1:7">
      <c r="A371" s="2" t="s">
        <v>77</v>
      </c>
    </row>
    <row r="372" spans="1:7">
      <c r="A372" s="4" t="s">
        <v>7</v>
      </c>
      <c r="B372" s="3" t="s">
        <v>8</v>
      </c>
      <c r="C372" s="3" t="s">
        <v>9</v>
      </c>
      <c r="D372" s="3" t="s">
        <v>10</v>
      </c>
      <c r="E372" s="3" t="s">
        <v>11</v>
      </c>
      <c r="F372" s="3" t="s">
        <v>12</v>
      </c>
      <c r="G372" s="3" t="s">
        <v>13</v>
      </c>
    </row>
    <row r="373" spans="1:7">
      <c r="A373" t="s">
        <v>977</v>
      </c>
      <c r="B373">
        <v>310.28875622994747</v>
      </c>
      <c r="C373">
        <v>305.537873965627</v>
      </c>
      <c r="D373">
        <v>320.69228811402388</v>
      </c>
    </row>
    <row r="374" spans="1:7">
      <c r="A374" t="s">
        <v>978</v>
      </c>
      <c r="B374">
        <v>329.145659612401</v>
      </c>
      <c r="C374">
        <v>300.33788011512956</v>
      </c>
      <c r="D374">
        <v>303.60531309297909</v>
      </c>
    </row>
    <row r="375" spans="1:7">
      <c r="A375" t="s">
        <v>979</v>
      </c>
      <c r="B375">
        <v>317.3969458029743</v>
      </c>
      <c r="C375">
        <v>315.15757878939468</v>
      </c>
      <c r="D375">
        <v>304.90018148820326</v>
      </c>
    </row>
    <row r="376" spans="1:7">
      <c r="A376" t="s">
        <v>980</v>
      </c>
      <c r="B376">
        <v>319.88733527814105</v>
      </c>
      <c r="C376">
        <v>300.52592036063112</v>
      </c>
      <c r="D376">
        <v>305.03304524656841</v>
      </c>
    </row>
    <row r="377" spans="1:7">
      <c r="A377" s="1"/>
    </row>
    <row r="378" spans="1:7">
      <c r="A378" s="3" t="s">
        <v>18</v>
      </c>
      <c r="B378">
        <v>4</v>
      </c>
    </row>
    <row r="379" spans="1:7">
      <c r="A379" s="3" t="s">
        <v>191</v>
      </c>
      <c r="B379">
        <v>1</v>
      </c>
    </row>
    <row r="380" spans="1:7">
      <c r="A380" s="3" t="s">
        <v>192</v>
      </c>
      <c r="B380">
        <v>3</v>
      </c>
    </row>
    <row r="381" spans="1:7">
      <c r="A381" s="6" t="s">
        <v>193</v>
      </c>
      <c r="B381">
        <v>25</v>
      </c>
    </row>
    <row r="382" spans="1:7">
      <c r="A382" s="1"/>
    </row>
    <row r="383" spans="1:7">
      <c r="A383" s="3" t="s">
        <v>19</v>
      </c>
      <c r="B383">
        <v>-3.1678936777480686</v>
      </c>
    </row>
    <row r="384" spans="1:7">
      <c r="A384" t="s">
        <v>20</v>
      </c>
      <c r="B384">
        <v>108.57285305457656</v>
      </c>
    </row>
    <row r="385" spans="1:7">
      <c r="A385" t="s">
        <v>23</v>
      </c>
      <c r="B385">
        <v>10.419829799693302</v>
      </c>
    </row>
    <row r="386" spans="1:7">
      <c r="A386" t="s">
        <v>24</v>
      </c>
      <c r="B386">
        <v>5.2099148998466509</v>
      </c>
    </row>
    <row r="387" spans="1:7">
      <c r="A387" s="1" t="s">
        <v>21</v>
      </c>
      <c r="B387">
        <v>-0.60805094490916012</v>
      </c>
    </row>
    <row r="388" spans="1:7">
      <c r="A388" s="4" t="s">
        <v>22</v>
      </c>
      <c r="B388">
        <f>TDIST(ABS(B387),3,1)</f>
        <v>0.29304838485562629</v>
      </c>
    </row>
    <row r="390" spans="1:7">
      <c r="A390" s="2" t="s">
        <v>78</v>
      </c>
    </row>
    <row r="391" spans="1:7">
      <c r="A391" s="3" t="s">
        <v>7</v>
      </c>
      <c r="B391" s="3" t="s">
        <v>8</v>
      </c>
      <c r="C391" s="3" t="s">
        <v>9</v>
      </c>
      <c r="D391" s="3" t="s">
        <v>10</v>
      </c>
      <c r="E391" s="3" t="s">
        <v>11</v>
      </c>
      <c r="F391" s="3" t="s">
        <v>12</v>
      </c>
      <c r="G391" s="3" t="s">
        <v>13</v>
      </c>
    </row>
    <row r="392" spans="1:7">
      <c r="A392" t="s">
        <v>981</v>
      </c>
      <c r="B392">
        <v>356.00251414204899</v>
      </c>
      <c r="C392">
        <v>328.31737346101232</v>
      </c>
      <c r="D392">
        <v>313.70596290302501</v>
      </c>
    </row>
    <row r="393" spans="1:7">
      <c r="A393" s="1" t="s">
        <v>982</v>
      </c>
      <c r="B393">
        <v>314.57532331352672</v>
      </c>
      <c r="C393">
        <v>300.18761726078799</v>
      </c>
      <c r="D393">
        <v>301.69704588309241</v>
      </c>
    </row>
    <row r="394" spans="1:7">
      <c r="A394" t="s">
        <v>983</v>
      </c>
      <c r="B394">
        <v>363.55509200625789</v>
      </c>
      <c r="C394">
        <v>415.17170681701691</v>
      </c>
      <c r="D394">
        <v>401.68608975948428</v>
      </c>
    </row>
    <row r="395" spans="1:7">
      <c r="A395" t="s">
        <v>984</v>
      </c>
      <c r="B395">
        <v>314.20662826363434</v>
      </c>
      <c r="C395">
        <v>297.06840390879478</v>
      </c>
      <c r="D395">
        <v>318.90660592255125</v>
      </c>
    </row>
    <row r="397" spans="1:7">
      <c r="A397" s="3" t="s">
        <v>18</v>
      </c>
      <c r="B397">
        <v>4</v>
      </c>
    </row>
    <row r="398" spans="1:7">
      <c r="A398" s="4" t="s">
        <v>191</v>
      </c>
      <c r="B398">
        <v>2</v>
      </c>
    </row>
    <row r="399" spans="1:7">
      <c r="A399" s="3" t="s">
        <v>192</v>
      </c>
      <c r="B399">
        <v>2</v>
      </c>
    </row>
    <row r="400" spans="1:7">
      <c r="A400" s="6" t="s">
        <v>193</v>
      </c>
      <c r="B400">
        <v>50</v>
      </c>
    </row>
    <row r="402" spans="1:7">
      <c r="A402" s="3" t="s">
        <v>19</v>
      </c>
      <c r="B402">
        <v>1.187349244864762</v>
      </c>
    </row>
    <row r="403" spans="1:7">
      <c r="A403" s="1" t="s">
        <v>20</v>
      </c>
      <c r="B403">
        <v>289.63381165294123</v>
      </c>
    </row>
    <row r="404" spans="1:7">
      <c r="A404" t="s">
        <v>23</v>
      </c>
      <c r="B404">
        <v>17.018631309624791</v>
      </c>
    </row>
    <row r="405" spans="1:7">
      <c r="A405" t="s">
        <v>24</v>
      </c>
      <c r="B405">
        <v>8.5093156548123954</v>
      </c>
    </row>
    <row r="406" spans="1:7">
      <c r="A406" t="s">
        <v>21</v>
      </c>
      <c r="B406">
        <v>0.13953522151846176</v>
      </c>
    </row>
    <row r="407" spans="1:7">
      <c r="A407" s="3" t="s">
        <v>22</v>
      </c>
      <c r="B407">
        <f>TDIST(ABS(B406),3,1)</f>
        <v>0.44893407942634456</v>
      </c>
    </row>
    <row r="408" spans="1:7">
      <c r="A408" s="1"/>
    </row>
    <row r="409" spans="1:7">
      <c r="A409" s="2" t="s">
        <v>79</v>
      </c>
    </row>
    <row r="410" spans="1:7">
      <c r="A410" s="3" t="s">
        <v>7</v>
      </c>
      <c r="B410" s="3" t="s">
        <v>8</v>
      </c>
      <c r="C410" s="3" t="s">
        <v>9</v>
      </c>
      <c r="D410" s="3" t="s">
        <v>10</v>
      </c>
      <c r="E410" s="3" t="s">
        <v>11</v>
      </c>
      <c r="F410" s="3" t="s">
        <v>12</v>
      </c>
      <c r="G410" s="3" t="s">
        <v>13</v>
      </c>
    </row>
    <row r="411" spans="1:7">
      <c r="A411" t="s">
        <v>985</v>
      </c>
      <c r="B411">
        <v>344.70699905080681</v>
      </c>
      <c r="C411">
        <v>322.53935748112121</v>
      </c>
      <c r="D411">
        <v>335.36585365853654</v>
      </c>
    </row>
    <row r="412" spans="1:7">
      <c r="A412" t="s">
        <v>986</v>
      </c>
      <c r="B412">
        <v>385.80271490178495</v>
      </c>
      <c r="C412">
        <v>399.43669184483417</v>
      </c>
      <c r="D412">
        <v>380.32454361054766</v>
      </c>
    </row>
    <row r="413" spans="1:7">
      <c r="A413" s="1" t="s">
        <v>987</v>
      </c>
      <c r="B413">
        <v>389.84133957880965</v>
      </c>
      <c r="C413">
        <v>324.32432432432432</v>
      </c>
      <c r="D413">
        <v>349.41131788834031</v>
      </c>
    </row>
    <row r="414" spans="1:7">
      <c r="A414" t="s">
        <v>988</v>
      </c>
      <c r="B414">
        <v>336.12350536246316</v>
      </c>
      <c r="C414">
        <v>332.45183226293921</v>
      </c>
      <c r="D414">
        <v>314.6460232238731</v>
      </c>
    </row>
    <row r="416" spans="1:7">
      <c r="A416" s="3" t="s">
        <v>18</v>
      </c>
      <c r="B416">
        <v>4</v>
      </c>
    </row>
    <row r="417" spans="1:2">
      <c r="A417" s="3" t="s">
        <v>191</v>
      </c>
      <c r="B417">
        <v>2</v>
      </c>
    </row>
    <row r="418" spans="1:2">
      <c r="A418" s="4" t="s">
        <v>192</v>
      </c>
      <c r="B418">
        <v>2</v>
      </c>
    </row>
    <row r="419" spans="1:2">
      <c r="A419" s="6" t="s">
        <v>193</v>
      </c>
      <c r="B419">
        <v>50</v>
      </c>
    </row>
    <row r="421" spans="1:2">
      <c r="A421" s="3" t="s">
        <v>19</v>
      </c>
      <c r="B421">
        <v>-0.24888311701967347</v>
      </c>
    </row>
    <row r="422" spans="1:2">
      <c r="A422" t="s">
        <v>20</v>
      </c>
      <c r="B422">
        <v>491.98317490383619</v>
      </c>
    </row>
    <row r="423" spans="1:2">
      <c r="A423" s="1" t="s">
        <v>23</v>
      </c>
      <c r="B423">
        <v>22.180693742618516</v>
      </c>
    </row>
    <row r="424" spans="1:2">
      <c r="A424" s="1" t="s">
        <v>24</v>
      </c>
      <c r="B424">
        <v>11.090346871309258</v>
      </c>
    </row>
    <row r="425" spans="1:2">
      <c r="A425" t="s">
        <v>21</v>
      </c>
      <c r="B425">
        <v>-2.2441418641605738E-2</v>
      </c>
    </row>
    <row r="426" spans="1:2">
      <c r="A426" s="3" t="s">
        <v>22</v>
      </c>
      <c r="B426">
        <f>TDIST(ABS(B425),3,1)</f>
        <v>0.49175252127980074</v>
      </c>
    </row>
    <row r="429" spans="1:2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C1:D1048576 B1:B109 B111:B116 B118:B226 B228:B233 B235:B265 B267:B272 B274:B304 B306:B311 B313:B323 B325:B330 B332:B342 B344:B349 B351:B361 B363:B368 B370:B380 B382:B387 B389:B399 B401:B406 B408:B418 B420:B425 B427:B1048576">
    <cfRule type="containsErrors" dxfId="686" priority="1">
      <formula>ISERROR(B1)</formula>
    </cfRule>
  </conditionalFormatting>
  <conditionalFormatting sqref="B110">
    <cfRule type="cellIs" dxfId="685" priority="2" stopIfTrue="1" operator="notBetween">
      <formula>15</formula>
      <formula>85</formula>
    </cfRule>
    <cfRule type="cellIs" dxfId="684" priority="3" stopIfTrue="1" operator="notBetween">
      <formula>25</formula>
      <formula>75</formula>
    </cfRule>
  </conditionalFormatting>
  <conditionalFormatting sqref="B117">
    <cfRule type="cellIs" dxfId="683" priority="4" stopIfTrue="1" operator="lessThanOrEqual">
      <formula>0.05</formula>
    </cfRule>
    <cfRule type="cellIs" dxfId="682" priority="5" stopIfTrue="1" operator="lessThanOrEqual">
      <formula>0.1</formula>
    </cfRule>
  </conditionalFormatting>
  <conditionalFormatting sqref="B227">
    <cfRule type="cellIs" dxfId="681" priority="6" stopIfTrue="1" operator="notBetween">
      <formula>15</formula>
      <formula>85</formula>
    </cfRule>
    <cfRule type="cellIs" dxfId="680" priority="7" stopIfTrue="1" operator="notBetween">
      <formula>25</formula>
      <formula>75</formula>
    </cfRule>
  </conditionalFormatting>
  <conditionalFormatting sqref="B234">
    <cfRule type="cellIs" dxfId="679" priority="8" stopIfTrue="1" operator="lessThanOrEqual">
      <formula>0.05</formula>
    </cfRule>
    <cfRule type="cellIs" dxfId="678" priority="9" stopIfTrue="1" operator="lessThanOrEqual">
      <formula>0.1</formula>
    </cfRule>
  </conditionalFormatting>
  <conditionalFormatting sqref="B266">
    <cfRule type="cellIs" dxfId="677" priority="10" stopIfTrue="1" operator="notBetween">
      <formula>15</formula>
      <formula>85</formula>
    </cfRule>
    <cfRule type="cellIs" dxfId="676" priority="11" stopIfTrue="1" operator="notBetween">
      <formula>25</formula>
      <formula>75</formula>
    </cfRule>
  </conditionalFormatting>
  <conditionalFormatting sqref="B273">
    <cfRule type="cellIs" dxfId="675" priority="12" stopIfTrue="1" operator="lessThanOrEqual">
      <formula>0.05</formula>
    </cfRule>
    <cfRule type="cellIs" dxfId="674" priority="13" stopIfTrue="1" operator="lessThanOrEqual">
      <formula>0.1</formula>
    </cfRule>
  </conditionalFormatting>
  <conditionalFormatting sqref="B305">
    <cfRule type="cellIs" dxfId="673" priority="14" stopIfTrue="1" operator="notBetween">
      <formula>15</formula>
      <formula>85</formula>
    </cfRule>
    <cfRule type="cellIs" dxfId="672" priority="15" stopIfTrue="1" operator="notBetween">
      <formula>25</formula>
      <formula>75</formula>
    </cfRule>
  </conditionalFormatting>
  <conditionalFormatting sqref="B312">
    <cfRule type="cellIs" dxfId="671" priority="16" stopIfTrue="1" operator="lessThanOrEqual">
      <formula>0.05</formula>
    </cfRule>
    <cfRule type="cellIs" dxfId="670" priority="17" stopIfTrue="1" operator="lessThanOrEqual">
      <formula>0.1</formula>
    </cfRule>
  </conditionalFormatting>
  <conditionalFormatting sqref="B324">
    <cfRule type="cellIs" dxfId="669" priority="18" stopIfTrue="1" operator="notBetween">
      <formula>15</formula>
      <formula>85</formula>
    </cfRule>
    <cfRule type="cellIs" dxfId="668" priority="19" stopIfTrue="1" operator="notBetween">
      <formula>25</formula>
      <formula>75</formula>
    </cfRule>
  </conditionalFormatting>
  <conditionalFormatting sqref="B331">
    <cfRule type="cellIs" dxfId="667" priority="20" stopIfTrue="1" operator="lessThanOrEqual">
      <formula>0.05</formula>
    </cfRule>
    <cfRule type="cellIs" dxfId="666" priority="21" stopIfTrue="1" operator="lessThanOrEqual">
      <formula>0.1</formula>
    </cfRule>
  </conditionalFormatting>
  <conditionalFormatting sqref="B343">
    <cfRule type="cellIs" dxfId="665" priority="22" stopIfTrue="1" operator="notBetween">
      <formula>15</formula>
      <formula>85</formula>
    </cfRule>
    <cfRule type="cellIs" dxfId="664" priority="23" stopIfTrue="1" operator="notBetween">
      <formula>25</formula>
      <formula>75</formula>
    </cfRule>
  </conditionalFormatting>
  <conditionalFormatting sqref="B350">
    <cfRule type="cellIs" dxfId="663" priority="24" stopIfTrue="1" operator="lessThanOrEqual">
      <formula>0.05</formula>
    </cfRule>
    <cfRule type="cellIs" dxfId="662" priority="25" stopIfTrue="1" operator="lessThanOrEqual">
      <formula>0.1</formula>
    </cfRule>
  </conditionalFormatting>
  <conditionalFormatting sqref="B362">
    <cfRule type="cellIs" dxfId="661" priority="26" stopIfTrue="1" operator="notBetween">
      <formula>15</formula>
      <formula>85</formula>
    </cfRule>
    <cfRule type="cellIs" dxfId="660" priority="27" stopIfTrue="1" operator="notBetween">
      <formula>25</formula>
      <formula>75</formula>
    </cfRule>
  </conditionalFormatting>
  <conditionalFormatting sqref="B369">
    <cfRule type="cellIs" dxfId="659" priority="28" stopIfTrue="1" operator="lessThanOrEqual">
      <formula>0.05</formula>
    </cfRule>
    <cfRule type="cellIs" dxfId="658" priority="29" stopIfTrue="1" operator="lessThanOrEqual">
      <formula>0.1</formula>
    </cfRule>
  </conditionalFormatting>
  <conditionalFormatting sqref="B381">
    <cfRule type="cellIs" dxfId="657" priority="30" stopIfTrue="1" operator="notBetween">
      <formula>15</formula>
      <formula>85</formula>
    </cfRule>
    <cfRule type="cellIs" dxfId="656" priority="31" stopIfTrue="1" operator="notBetween">
      <formula>25</formula>
      <formula>75</formula>
    </cfRule>
  </conditionalFormatting>
  <conditionalFormatting sqref="B388">
    <cfRule type="cellIs" dxfId="655" priority="32" stopIfTrue="1" operator="lessThanOrEqual">
      <formula>0.05</formula>
    </cfRule>
    <cfRule type="cellIs" dxfId="654" priority="33" stopIfTrue="1" operator="lessThanOrEqual">
      <formula>0.1</formula>
    </cfRule>
  </conditionalFormatting>
  <conditionalFormatting sqref="B400">
    <cfRule type="cellIs" dxfId="653" priority="34" stopIfTrue="1" operator="notBetween">
      <formula>15</formula>
      <formula>85</formula>
    </cfRule>
    <cfRule type="cellIs" dxfId="652" priority="35" stopIfTrue="1" operator="notBetween">
      <formula>25</formula>
      <formula>75</formula>
    </cfRule>
  </conditionalFormatting>
  <conditionalFormatting sqref="B407">
    <cfRule type="cellIs" dxfId="651" priority="36" stopIfTrue="1" operator="lessThanOrEqual">
      <formula>0.05</formula>
    </cfRule>
    <cfRule type="cellIs" dxfId="650" priority="37" stopIfTrue="1" operator="lessThanOrEqual">
      <formula>0.1</formula>
    </cfRule>
  </conditionalFormatting>
  <conditionalFormatting sqref="B419">
    <cfRule type="cellIs" dxfId="649" priority="38" stopIfTrue="1" operator="notBetween">
      <formula>15</formula>
      <formula>85</formula>
    </cfRule>
    <cfRule type="cellIs" dxfId="648" priority="39" stopIfTrue="1" operator="notBetween">
      <formula>25</formula>
      <formula>75</formula>
    </cfRule>
  </conditionalFormatting>
  <conditionalFormatting sqref="B426">
    <cfRule type="cellIs" dxfId="647" priority="40" stopIfTrue="1" operator="lessThanOrEqual">
      <formula>0.05</formula>
    </cfRule>
    <cfRule type="cellIs" dxfId="646" priority="41" stopIfTrue="1" operator="lessThanOrEqual">
      <formula>0.1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7"/>
  <dimension ref="A1:G1548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</cols>
  <sheetData>
    <row r="1" spans="1:7">
      <c r="A1" s="2" t="s">
        <v>26</v>
      </c>
    </row>
    <row r="2" spans="1:7">
      <c r="A2" s="2" t="s">
        <v>1772</v>
      </c>
    </row>
    <row r="3" spans="1:7">
      <c r="A3" s="3" t="s">
        <v>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</row>
    <row r="4" spans="1:7">
      <c r="A4" s="1" t="s">
        <v>169</v>
      </c>
      <c r="B4" t="e">
        <f>NA()</f>
        <v>#N/A</v>
      </c>
      <c r="C4">
        <v>304.78955007256894</v>
      </c>
      <c r="D4">
        <v>316.46364435514249</v>
      </c>
      <c r="E4" t="s">
        <v>14</v>
      </c>
    </row>
    <row r="5" spans="1:7">
      <c r="A5" s="1" t="s">
        <v>170</v>
      </c>
      <c r="B5">
        <v>318.01067352940413</v>
      </c>
      <c r="C5">
        <v>298.99090569328513</v>
      </c>
      <c r="D5">
        <v>301.3182674199623</v>
      </c>
    </row>
    <row r="6" spans="1:7">
      <c r="A6" s="1" t="s">
        <v>171</v>
      </c>
      <c r="B6">
        <v>310.49420493736352</v>
      </c>
      <c r="C6">
        <v>294.91275497665276</v>
      </c>
      <c r="D6">
        <v>293.36266960029337</v>
      </c>
    </row>
    <row r="7" spans="1:7">
      <c r="A7" s="1" t="s">
        <v>172</v>
      </c>
      <c r="B7">
        <v>303.22742056542404</v>
      </c>
      <c r="C7">
        <v>300.94043887147336</v>
      </c>
      <c r="D7">
        <v>311.99702859972763</v>
      </c>
    </row>
    <row r="8" spans="1:7">
      <c r="A8" s="1" t="s">
        <v>173</v>
      </c>
      <c r="B8" t="e">
        <f>NA()</f>
        <v>#N/A</v>
      </c>
      <c r="C8">
        <v>337.82129742962059</v>
      </c>
      <c r="D8">
        <v>323.07692307692304</v>
      </c>
      <c r="E8" t="s">
        <v>14</v>
      </c>
    </row>
    <row r="9" spans="1:7">
      <c r="A9" s="1" t="s">
        <v>174</v>
      </c>
      <c r="B9">
        <v>350.93452821281835</v>
      </c>
      <c r="C9">
        <v>340.55727554179566</v>
      </c>
      <c r="D9">
        <v>324.40403047431801</v>
      </c>
    </row>
    <row r="10" spans="1:7">
      <c r="A10" s="1" t="s">
        <v>175</v>
      </c>
      <c r="B10">
        <v>369.83212227511899</v>
      </c>
      <c r="C10">
        <v>370.87402645568056</v>
      </c>
      <c r="D10">
        <v>361.80904522613071</v>
      </c>
    </row>
    <row r="11" spans="1:7">
      <c r="A11" s="1" t="s">
        <v>176</v>
      </c>
      <c r="B11">
        <v>345.35988220462133</v>
      </c>
      <c r="C11">
        <v>346.51600753295668</v>
      </c>
      <c r="D11">
        <v>335.03277494537508</v>
      </c>
    </row>
    <row r="12" spans="1:7">
      <c r="A12" s="1" t="s">
        <v>177</v>
      </c>
      <c r="B12" t="e">
        <f>NA()</f>
        <v>#N/A</v>
      </c>
      <c r="C12">
        <v>390.48811013767209</v>
      </c>
      <c r="D12">
        <v>348.1771161851899</v>
      </c>
      <c r="E12" t="s">
        <v>14</v>
      </c>
    </row>
    <row r="13" spans="1:7">
      <c r="A13" s="1" t="s">
        <v>178</v>
      </c>
      <c r="B13">
        <v>450.82330774641969</v>
      </c>
      <c r="C13">
        <v>386.09083034277938</v>
      </c>
      <c r="D13">
        <v>341.2884876963027</v>
      </c>
    </row>
    <row r="14" spans="1:7">
      <c r="A14" s="1" t="s">
        <v>179</v>
      </c>
      <c r="B14">
        <v>394.14703389989825</v>
      </c>
      <c r="C14" t="e">
        <f>NA()</f>
        <v>#N/A</v>
      </c>
      <c r="D14">
        <v>360.94748715377864</v>
      </c>
      <c r="F14" t="s">
        <v>17</v>
      </c>
    </row>
    <row r="15" spans="1:7">
      <c r="A15" s="1" t="s">
        <v>180</v>
      </c>
      <c r="B15" t="e">
        <f>NA()</f>
        <v>#N/A</v>
      </c>
      <c r="C15">
        <v>371.10341415141016</v>
      </c>
      <c r="D15" t="e">
        <f>NA()</f>
        <v>#N/A</v>
      </c>
      <c r="E15" t="s">
        <v>16</v>
      </c>
      <c r="G15" t="s">
        <v>15</v>
      </c>
    </row>
    <row r="16" spans="1:7">
      <c r="A16" s="1" t="s">
        <v>181</v>
      </c>
      <c r="B16" t="e">
        <f>NA()</f>
        <v>#N/A</v>
      </c>
      <c r="C16">
        <v>483.38368580060427</v>
      </c>
      <c r="D16">
        <v>357.63069663479445</v>
      </c>
      <c r="E16" t="s">
        <v>14</v>
      </c>
    </row>
    <row r="17" spans="1:5">
      <c r="A17" s="1" t="s">
        <v>182</v>
      </c>
      <c r="B17">
        <v>420.03153153724486</v>
      </c>
      <c r="C17">
        <v>363.22360953461975</v>
      </c>
      <c r="D17">
        <v>353.12180143295802</v>
      </c>
    </row>
    <row r="18" spans="1:5">
      <c r="A18" s="1" t="s">
        <v>183</v>
      </c>
      <c r="B18">
        <v>438.46038340257269</v>
      </c>
      <c r="C18">
        <v>356.56803268540301</v>
      </c>
      <c r="D18">
        <v>331.24215809284817</v>
      </c>
    </row>
    <row r="19" spans="1:5">
      <c r="A19" s="1" t="s">
        <v>184</v>
      </c>
      <c r="B19">
        <v>371.50775222829753</v>
      </c>
      <c r="C19">
        <v>352.55233198677928</v>
      </c>
      <c r="D19">
        <v>325.40367311721923</v>
      </c>
    </row>
    <row r="20" spans="1:5">
      <c r="A20" t="s">
        <v>185</v>
      </c>
      <c r="B20" t="e">
        <f>NA()</f>
        <v>#N/A</v>
      </c>
      <c r="C20">
        <v>451.46726862302484</v>
      </c>
      <c r="D20">
        <v>360.54081121682526</v>
      </c>
      <c r="E20" t="s">
        <v>14</v>
      </c>
    </row>
    <row r="21" spans="1:5">
      <c r="A21" t="s">
        <v>187</v>
      </c>
      <c r="B21" t="e">
        <f>NA()</f>
        <v>#N/A</v>
      </c>
      <c r="C21">
        <v>332.45001204529029</v>
      </c>
      <c r="D21">
        <v>326.20783393055729</v>
      </c>
      <c r="E21" t="s">
        <v>62</v>
      </c>
    </row>
    <row r="22" spans="1:5">
      <c r="A22" t="s">
        <v>189</v>
      </c>
      <c r="B22">
        <v>361.31771327662415</v>
      </c>
      <c r="C22">
        <v>377.73860488541931</v>
      </c>
      <c r="D22">
        <v>384.85259652152462</v>
      </c>
    </row>
    <row r="24" spans="1:5">
      <c r="A24" s="4" t="s">
        <v>18</v>
      </c>
      <c r="B24">
        <v>17</v>
      </c>
    </row>
    <row r="25" spans="1:5">
      <c r="A25" s="4" t="s">
        <v>191</v>
      </c>
      <c r="B25">
        <v>13</v>
      </c>
    </row>
    <row r="26" spans="1:5">
      <c r="A26" s="4" t="s">
        <v>192</v>
      </c>
      <c r="B26">
        <v>4</v>
      </c>
    </row>
    <row r="27" spans="1:5">
      <c r="A27" s="6" t="s">
        <v>193</v>
      </c>
      <c r="B27">
        <v>76.470588235294116</v>
      </c>
    </row>
    <row r="28" spans="1:5">
      <c r="A28" s="1"/>
    </row>
    <row r="29" spans="1:5">
      <c r="A29" s="4" t="s">
        <v>19</v>
      </c>
      <c r="B29">
        <v>23.143246122913748</v>
      </c>
    </row>
    <row r="30" spans="1:5">
      <c r="A30" s="1" t="s">
        <v>20</v>
      </c>
      <c r="B30">
        <v>1331.3951249439531</v>
      </c>
    </row>
    <row r="31" spans="1:5">
      <c r="A31" s="1" t="s">
        <v>23</v>
      </c>
      <c r="B31">
        <v>36.488287503580558</v>
      </c>
    </row>
    <row r="32" spans="1:5">
      <c r="A32" s="1" t="s">
        <v>24</v>
      </c>
      <c r="B32">
        <v>8.8497096161863276</v>
      </c>
    </row>
    <row r="33" spans="1:7">
      <c r="A33" s="1" t="s">
        <v>21</v>
      </c>
      <c r="B33">
        <v>2.615141866416069</v>
      </c>
    </row>
    <row r="34" spans="1:7">
      <c r="A34" s="4" t="s">
        <v>22</v>
      </c>
      <c r="B34">
        <f>TDIST(ABS(B33),16,1)</f>
        <v>9.377322387626761E-3</v>
      </c>
    </row>
    <row r="35" spans="1:7">
      <c r="A35" s="1"/>
    </row>
    <row r="36" spans="1:7">
      <c r="A36" s="5" t="s">
        <v>1773</v>
      </c>
    </row>
    <row r="37" spans="1:7">
      <c r="A37" s="4" t="s">
        <v>7</v>
      </c>
      <c r="B37" s="3" t="s">
        <v>8</v>
      </c>
      <c r="C37" s="3" t="s">
        <v>9</v>
      </c>
      <c r="D37" s="3" t="s">
        <v>10</v>
      </c>
      <c r="E37" s="3" t="s">
        <v>11</v>
      </c>
      <c r="F37" s="3" t="s">
        <v>12</v>
      </c>
      <c r="G37" s="3" t="s">
        <v>13</v>
      </c>
    </row>
    <row r="38" spans="1:7">
      <c r="A38" s="1" t="s">
        <v>194</v>
      </c>
      <c r="B38">
        <v>306.2616723337274</v>
      </c>
      <c r="C38">
        <v>312.57752418754654</v>
      </c>
      <c r="D38">
        <v>310.47865459249675</v>
      </c>
    </row>
    <row r="39" spans="1:7">
      <c r="A39" s="1" t="s">
        <v>195</v>
      </c>
      <c r="B39" t="e">
        <f>NA()</f>
        <v>#N/A</v>
      </c>
      <c r="C39">
        <v>307.88026878436165</v>
      </c>
      <c r="D39">
        <v>325.74974146845915</v>
      </c>
      <c r="E39" t="s">
        <v>15</v>
      </c>
    </row>
    <row r="40" spans="1:7">
      <c r="A40" t="s">
        <v>196</v>
      </c>
      <c r="B40">
        <v>320.79088066175728</v>
      </c>
      <c r="C40">
        <v>332.66129032258061</v>
      </c>
      <c r="D40">
        <v>336.95519472591866</v>
      </c>
    </row>
    <row r="41" spans="1:7">
      <c r="A41" t="s">
        <v>197</v>
      </c>
      <c r="B41">
        <v>384.36514688954503</v>
      </c>
      <c r="C41">
        <v>367.81609195402297</v>
      </c>
      <c r="D41">
        <v>363.13201361745047</v>
      </c>
    </row>
    <row r="42" spans="1:7">
      <c r="A42" t="s">
        <v>198</v>
      </c>
      <c r="B42">
        <v>393.42292964937303</v>
      </c>
      <c r="C42">
        <v>327.17808898252571</v>
      </c>
      <c r="D42">
        <v>321.10091743119267</v>
      </c>
    </row>
    <row r="43" spans="1:7">
      <c r="A43" t="s">
        <v>199</v>
      </c>
      <c r="B43">
        <v>340.96224614965246</v>
      </c>
      <c r="C43">
        <v>330.04125515689464</v>
      </c>
      <c r="D43">
        <v>345.25894420815609</v>
      </c>
    </row>
    <row r="44" spans="1:7">
      <c r="A44" s="1" t="s">
        <v>200</v>
      </c>
      <c r="B44">
        <v>360.21649562841094</v>
      </c>
      <c r="C44">
        <v>310.88082901554401</v>
      </c>
      <c r="D44">
        <v>326.61140665594456</v>
      </c>
    </row>
    <row r="45" spans="1:7">
      <c r="A45" s="1" t="s">
        <v>201</v>
      </c>
      <c r="B45">
        <v>342.81520558347046</v>
      </c>
      <c r="C45">
        <v>330.78561583761433</v>
      </c>
      <c r="D45">
        <v>323.28415651058367</v>
      </c>
    </row>
    <row r="46" spans="1:7">
      <c r="A46" s="1" t="s">
        <v>202</v>
      </c>
      <c r="B46">
        <v>422.50613667168403</v>
      </c>
      <c r="C46">
        <v>355.57845916001031</v>
      </c>
      <c r="D46">
        <v>355.12094698919196</v>
      </c>
    </row>
    <row r="47" spans="1:7">
      <c r="A47" s="1" t="s">
        <v>203</v>
      </c>
      <c r="B47" t="e">
        <f>NA()</f>
        <v>#N/A</v>
      </c>
      <c r="C47">
        <v>341.16192830655132</v>
      </c>
      <c r="D47">
        <v>332.409972299169</v>
      </c>
      <c r="E47" t="s">
        <v>30</v>
      </c>
    </row>
    <row r="48" spans="1:7">
      <c r="A48" s="1" t="s">
        <v>204</v>
      </c>
      <c r="B48" t="e">
        <f>NA()</f>
        <v>#N/A</v>
      </c>
      <c r="C48">
        <v>333.652680540061</v>
      </c>
      <c r="D48" t="e">
        <f>NA()</f>
        <v>#N/A</v>
      </c>
      <c r="E48" t="s">
        <v>31</v>
      </c>
      <c r="G48" t="s">
        <v>17</v>
      </c>
    </row>
    <row r="49" spans="1:5">
      <c r="A49" s="1" t="s">
        <v>205</v>
      </c>
      <c r="B49" t="e">
        <f>NA()</f>
        <v>#N/A</v>
      </c>
      <c r="C49">
        <v>326.50945840891427</v>
      </c>
      <c r="D49">
        <v>325.92592592592592</v>
      </c>
      <c r="E49" t="s">
        <v>32</v>
      </c>
    </row>
    <row r="50" spans="1:5">
      <c r="A50" s="1" t="s">
        <v>206</v>
      </c>
      <c r="B50" t="e">
        <f>NA()</f>
        <v>#N/A</v>
      </c>
      <c r="C50">
        <v>343.71108343711086</v>
      </c>
      <c r="D50">
        <v>334.12887828162292</v>
      </c>
      <c r="E50" t="s">
        <v>30</v>
      </c>
    </row>
    <row r="51" spans="1:5">
      <c r="A51" s="1" t="s">
        <v>207</v>
      </c>
      <c r="B51" t="e">
        <f>NA()</f>
        <v>#N/A</v>
      </c>
      <c r="C51">
        <v>337.94538998408228</v>
      </c>
      <c r="D51">
        <v>310.96138896087069</v>
      </c>
      <c r="E51" t="s">
        <v>33</v>
      </c>
    </row>
    <row r="52" spans="1:5">
      <c r="A52" s="1" t="s">
        <v>208</v>
      </c>
      <c r="B52" t="e">
        <f>NA()</f>
        <v>#N/A</v>
      </c>
      <c r="C52">
        <v>320.2033036848793</v>
      </c>
      <c r="D52">
        <v>311.1879476413929</v>
      </c>
      <c r="E52" t="s">
        <v>34</v>
      </c>
    </row>
    <row r="53" spans="1:5">
      <c r="A53" s="1" t="s">
        <v>209</v>
      </c>
      <c r="B53" t="e">
        <f>NA()</f>
        <v>#N/A</v>
      </c>
      <c r="C53">
        <v>315.82725206364398</v>
      </c>
      <c r="D53">
        <v>313.11154598825829</v>
      </c>
      <c r="E53" t="s">
        <v>35</v>
      </c>
    </row>
    <row r="54" spans="1:5">
      <c r="A54" s="1" t="s">
        <v>210</v>
      </c>
      <c r="B54">
        <v>373.77588397996567</v>
      </c>
      <c r="C54">
        <v>368.85245901639348</v>
      </c>
      <c r="D54">
        <v>334.34650455927056</v>
      </c>
    </row>
    <row r="55" spans="1:5">
      <c r="A55" s="1" t="s">
        <v>212</v>
      </c>
      <c r="B55">
        <v>352.0032091460663</v>
      </c>
      <c r="C55">
        <v>311.68831168831167</v>
      </c>
      <c r="D55">
        <v>307.27960004877457</v>
      </c>
    </row>
    <row r="56" spans="1:5">
      <c r="A56" s="1" t="s">
        <v>215</v>
      </c>
      <c r="B56">
        <v>423.95441992386731</v>
      </c>
      <c r="C56">
        <v>367.42192284139622</v>
      </c>
      <c r="D56">
        <v>359.50567969042567</v>
      </c>
    </row>
    <row r="57" spans="1:5">
      <c r="A57" s="1"/>
    </row>
    <row r="58" spans="1:5">
      <c r="A58" s="4" t="s">
        <v>18</v>
      </c>
      <c r="B58">
        <v>18</v>
      </c>
    </row>
    <row r="59" spans="1:5">
      <c r="A59" s="4" t="s">
        <v>191</v>
      </c>
      <c r="B59">
        <v>14</v>
      </c>
    </row>
    <row r="60" spans="1:5">
      <c r="A60" s="4" t="s">
        <v>192</v>
      </c>
      <c r="B60">
        <v>4</v>
      </c>
    </row>
    <row r="61" spans="1:5">
      <c r="A61" s="6" t="s">
        <v>193</v>
      </c>
      <c r="B61">
        <v>77.777777777777771</v>
      </c>
    </row>
    <row r="62" spans="1:5">
      <c r="A62" s="1"/>
    </row>
    <row r="63" spans="1:5">
      <c r="A63" s="4" t="s">
        <v>19</v>
      </c>
      <c r="B63">
        <v>4.0095062909599806</v>
      </c>
    </row>
    <row r="64" spans="1:5">
      <c r="A64" s="1" t="s">
        <v>20</v>
      </c>
      <c r="B64">
        <v>170.91069343340519</v>
      </c>
    </row>
    <row r="65" spans="1:7">
      <c r="A65" s="1" t="s">
        <v>23</v>
      </c>
      <c r="B65">
        <v>13.073281662742724</v>
      </c>
    </row>
    <row r="66" spans="1:7">
      <c r="A66" t="s">
        <v>24</v>
      </c>
      <c r="B66">
        <v>3.0814020386957082</v>
      </c>
    </row>
    <row r="67" spans="1:7">
      <c r="A67" t="s">
        <v>21</v>
      </c>
      <c r="B67">
        <v>1.3011954430513453</v>
      </c>
    </row>
    <row r="68" spans="1:7">
      <c r="A68" s="3" t="s">
        <v>22</v>
      </c>
      <c r="B68">
        <f>TDIST(ABS(B67),17,1)</f>
        <v>0.10527578835260498</v>
      </c>
    </row>
    <row r="70" spans="1:7">
      <c r="A70" s="5" t="s">
        <v>1774</v>
      </c>
    </row>
    <row r="71" spans="1:7">
      <c r="A71" s="4" t="s">
        <v>7</v>
      </c>
      <c r="B71" s="3" t="s">
        <v>8</v>
      </c>
      <c r="C71" s="3" t="s">
        <v>9</v>
      </c>
      <c r="D71" s="3" t="s">
        <v>10</v>
      </c>
      <c r="E71" s="3" t="s">
        <v>11</v>
      </c>
      <c r="F71" s="3" t="s">
        <v>12</v>
      </c>
      <c r="G71" s="3" t="s">
        <v>13</v>
      </c>
    </row>
    <row r="72" spans="1:7">
      <c r="A72" s="1" t="s">
        <v>216</v>
      </c>
      <c r="B72">
        <v>390.92808116980007</v>
      </c>
      <c r="C72">
        <v>373.55248412401943</v>
      </c>
      <c r="D72">
        <v>357.8084234066344</v>
      </c>
    </row>
    <row r="73" spans="1:7">
      <c r="A73" s="1" t="s">
        <v>217</v>
      </c>
      <c r="B73">
        <v>411.11305609042489</v>
      </c>
      <c r="C73">
        <v>380.62705868000489</v>
      </c>
      <c r="D73">
        <v>364.96350364963502</v>
      </c>
    </row>
    <row r="74" spans="1:7">
      <c r="A74" s="1" t="s">
        <v>218</v>
      </c>
      <c r="B74" t="e">
        <f>NA()</f>
        <v>#N/A</v>
      </c>
      <c r="C74">
        <v>343.11287916459474</v>
      </c>
      <c r="D74">
        <v>343.0702299564947</v>
      </c>
      <c r="E74" t="s">
        <v>36</v>
      </c>
    </row>
    <row r="75" spans="1:7">
      <c r="A75" s="1" t="s">
        <v>219</v>
      </c>
      <c r="B75" t="e">
        <f>NA()</f>
        <v>#N/A</v>
      </c>
      <c r="C75">
        <v>363.77415687760509</v>
      </c>
      <c r="D75">
        <v>349.41131788834031</v>
      </c>
      <c r="E75" t="s">
        <v>37</v>
      </c>
    </row>
    <row r="76" spans="1:7">
      <c r="A76" s="1" t="s">
        <v>220</v>
      </c>
      <c r="B76">
        <v>334.83321183479546</v>
      </c>
      <c r="C76">
        <v>328.80807074355459</v>
      </c>
      <c r="D76">
        <v>331.24215809284817</v>
      </c>
    </row>
    <row r="77" spans="1:7">
      <c r="A77" s="1" t="s">
        <v>221</v>
      </c>
      <c r="B77">
        <v>345.08627156789197</v>
      </c>
      <c r="C77">
        <v>327.13754646840147</v>
      </c>
      <c r="D77">
        <v>322.501832396775</v>
      </c>
    </row>
    <row r="78" spans="1:7">
      <c r="A78" s="1" t="s">
        <v>222</v>
      </c>
      <c r="B78">
        <v>330.91000250689393</v>
      </c>
      <c r="C78">
        <v>309.73451327433628</v>
      </c>
      <c r="D78">
        <v>310.7600673313479</v>
      </c>
    </row>
    <row r="79" spans="1:7">
      <c r="A79" s="1" t="s">
        <v>223</v>
      </c>
      <c r="B79">
        <v>340.06164860296309</v>
      </c>
      <c r="C79">
        <v>325.87611534979959</v>
      </c>
      <c r="D79">
        <v>312.82586027111574</v>
      </c>
    </row>
    <row r="80" spans="1:7">
      <c r="A80" s="1" t="s">
        <v>224</v>
      </c>
      <c r="B80">
        <v>346.52725914861838</v>
      </c>
      <c r="C80">
        <v>329.2181069958848</v>
      </c>
      <c r="D80">
        <v>354.43924877766443</v>
      </c>
    </row>
    <row r="81" spans="1:7">
      <c r="A81" s="1" t="s">
        <v>225</v>
      </c>
      <c r="B81">
        <v>359.64312504760579</v>
      </c>
      <c r="C81">
        <v>330.78561583761433</v>
      </c>
      <c r="D81">
        <v>329.8762963888542</v>
      </c>
    </row>
    <row r="82" spans="1:7">
      <c r="A82" s="1" t="s">
        <v>226</v>
      </c>
      <c r="B82" t="e">
        <f>NA()</f>
        <v>#N/A</v>
      </c>
      <c r="C82">
        <v>329.71150243536903</v>
      </c>
      <c r="D82">
        <v>346.08150470219437</v>
      </c>
      <c r="E82" t="s">
        <v>38</v>
      </c>
    </row>
    <row r="83" spans="1:7">
      <c r="A83" s="1" t="s">
        <v>227</v>
      </c>
      <c r="B83">
        <v>343.30110513212566</v>
      </c>
      <c r="C83">
        <v>329.2591668745323</v>
      </c>
      <c r="D83">
        <v>349.51456310679612</v>
      </c>
    </row>
    <row r="84" spans="1:7">
      <c r="A84" s="1" t="s">
        <v>228</v>
      </c>
      <c r="B84">
        <v>376.15767167889146</v>
      </c>
      <c r="C84">
        <v>384.99506416584404</v>
      </c>
      <c r="D84">
        <v>344.61231114995627</v>
      </c>
    </row>
    <row r="85" spans="1:7">
      <c r="A85" s="1" t="s">
        <v>229</v>
      </c>
      <c r="B85">
        <v>353.1436267052398</v>
      </c>
      <c r="C85">
        <v>329.54687304955684</v>
      </c>
      <c r="D85">
        <v>339.20082230502373</v>
      </c>
    </row>
    <row r="86" spans="1:7">
      <c r="A86" s="1" t="s">
        <v>230</v>
      </c>
      <c r="B86">
        <v>342.6081294297378</v>
      </c>
      <c r="C86">
        <v>309.24039759479689</v>
      </c>
      <c r="D86" t="e">
        <f>NA()</f>
        <v>#N/A</v>
      </c>
      <c r="G86" t="s">
        <v>39</v>
      </c>
    </row>
    <row r="87" spans="1:7">
      <c r="A87" s="1" t="s">
        <v>231</v>
      </c>
      <c r="B87" t="e">
        <f>NA()</f>
        <v>#N/A</v>
      </c>
      <c r="C87">
        <v>301.96275792652239</v>
      </c>
      <c r="D87">
        <v>295.56650246305418</v>
      </c>
      <c r="E87" t="s">
        <v>40</v>
      </c>
    </row>
    <row r="88" spans="1:7">
      <c r="A88" s="1" t="s">
        <v>232</v>
      </c>
      <c r="B88">
        <v>355.2238805970149</v>
      </c>
      <c r="C88">
        <v>346.08150470219437</v>
      </c>
      <c r="D88">
        <v>334.26183844011143</v>
      </c>
    </row>
    <row r="89" spans="1:7">
      <c r="A89" s="1" t="s">
        <v>234</v>
      </c>
      <c r="B89">
        <v>422.69354717829572</v>
      </c>
      <c r="C89">
        <v>364.26513433462191</v>
      </c>
      <c r="D89">
        <v>339.98521803399854</v>
      </c>
    </row>
    <row r="90" spans="1:7">
      <c r="A90" t="s">
        <v>237</v>
      </c>
      <c r="B90">
        <v>391.63905428635491</v>
      </c>
      <c r="C90">
        <v>391.20985269258631</v>
      </c>
      <c r="D90">
        <v>429.09987669543779</v>
      </c>
    </row>
    <row r="92" spans="1:7">
      <c r="A92" s="3" t="s">
        <v>18</v>
      </c>
      <c r="B92">
        <v>18</v>
      </c>
    </row>
    <row r="93" spans="1:7">
      <c r="A93" s="3" t="s">
        <v>191</v>
      </c>
      <c r="B93">
        <v>11</v>
      </c>
    </row>
    <row r="94" spans="1:7">
      <c r="A94" s="4" t="s">
        <v>192</v>
      </c>
      <c r="B94">
        <v>7</v>
      </c>
    </row>
    <row r="95" spans="1:7">
      <c r="A95" s="6" t="s">
        <v>193</v>
      </c>
      <c r="B95">
        <v>61.111111111111114</v>
      </c>
    </row>
    <row r="97" spans="1:7">
      <c r="A97" s="3" t="s">
        <v>19</v>
      </c>
      <c r="B97">
        <v>1.9131571467088939</v>
      </c>
    </row>
    <row r="98" spans="1:7">
      <c r="A98" t="s">
        <v>20</v>
      </c>
      <c r="B98">
        <v>357.49112227621339</v>
      </c>
    </row>
    <row r="99" spans="1:7">
      <c r="A99" s="1" t="s">
        <v>23</v>
      </c>
      <c r="B99">
        <v>18.907435634591312</v>
      </c>
    </row>
    <row r="100" spans="1:7">
      <c r="A100" s="1" t="s">
        <v>24</v>
      </c>
      <c r="B100">
        <v>4.4565253173558963</v>
      </c>
    </row>
    <row r="101" spans="1:7">
      <c r="A101" s="1" t="s">
        <v>21</v>
      </c>
      <c r="B101">
        <v>0.42929345408588193</v>
      </c>
    </row>
    <row r="102" spans="1:7">
      <c r="A102" s="4" t="s">
        <v>22</v>
      </c>
      <c r="B102">
        <f>TDIST(ABS(B101),17,1)</f>
        <v>0.33655046308093384</v>
      </c>
    </row>
    <row r="103" spans="1:7">
      <c r="A103" s="1"/>
    </row>
    <row r="104" spans="1:7">
      <c r="A104" s="5" t="s">
        <v>1775</v>
      </c>
    </row>
    <row r="105" spans="1:7">
      <c r="A105" s="4" t="s">
        <v>7</v>
      </c>
      <c r="B105" s="3" t="s">
        <v>8</v>
      </c>
      <c r="C105" s="3" t="s">
        <v>9</v>
      </c>
      <c r="D105" s="3" t="s">
        <v>10</v>
      </c>
      <c r="E105" s="3" t="s">
        <v>11</v>
      </c>
      <c r="F105" s="3" t="s">
        <v>12</v>
      </c>
      <c r="G105" s="3" t="s">
        <v>13</v>
      </c>
    </row>
    <row r="106" spans="1:7">
      <c r="A106" s="1" t="s">
        <v>238</v>
      </c>
      <c r="B106">
        <v>359.15492957746483</v>
      </c>
      <c r="C106">
        <v>363.69005456675256</v>
      </c>
      <c r="D106">
        <v>368.19227818972132</v>
      </c>
    </row>
    <row r="107" spans="1:7">
      <c r="A107" s="1" t="s">
        <v>239</v>
      </c>
      <c r="B107">
        <v>418.82187515693266</v>
      </c>
      <c r="C107">
        <v>366.03965429588209</v>
      </c>
      <c r="D107">
        <v>387.6901138445125</v>
      </c>
    </row>
    <row r="108" spans="1:7">
      <c r="A108" s="1" t="s">
        <v>240</v>
      </c>
      <c r="B108">
        <v>429.3954379833994</v>
      </c>
      <c r="C108">
        <v>360.67626800250468</v>
      </c>
      <c r="D108">
        <v>361.76359753799778</v>
      </c>
    </row>
    <row r="109" spans="1:7">
      <c r="A109" s="1" t="s">
        <v>241</v>
      </c>
      <c r="B109">
        <v>385.45816733067727</v>
      </c>
      <c r="C109">
        <v>337.03561853695902</v>
      </c>
      <c r="D109">
        <v>337.57338551859095</v>
      </c>
    </row>
    <row r="110" spans="1:7">
      <c r="A110" s="1" t="s">
        <v>242</v>
      </c>
      <c r="B110">
        <v>338.20679936586225</v>
      </c>
      <c r="C110">
        <v>335.32325670011431</v>
      </c>
      <c r="D110">
        <v>326.46715895841436</v>
      </c>
    </row>
    <row r="111" spans="1:7">
      <c r="A111" s="1" t="s">
        <v>243</v>
      </c>
      <c r="B111">
        <v>336.90278019329673</v>
      </c>
      <c r="C111">
        <v>318.2621874210659</v>
      </c>
      <c r="D111">
        <v>337.14266103847075</v>
      </c>
    </row>
    <row r="112" spans="1:7">
      <c r="A112" s="1" t="s">
        <v>244</v>
      </c>
      <c r="B112">
        <v>345.81265975041345</v>
      </c>
      <c r="C112">
        <v>312.30635766513814</v>
      </c>
      <c r="D112">
        <v>314.68531468531467</v>
      </c>
    </row>
    <row r="113" spans="1:6">
      <c r="A113" s="1" t="s">
        <v>245</v>
      </c>
      <c r="B113">
        <v>347.08889165939411</v>
      </c>
      <c r="C113">
        <v>310.19202363367799</v>
      </c>
      <c r="D113">
        <v>314.01869158878503</v>
      </c>
    </row>
    <row r="114" spans="1:6">
      <c r="A114" s="1" t="s">
        <v>246</v>
      </c>
      <c r="B114" t="e">
        <f>NA()</f>
        <v>#N/A</v>
      </c>
      <c r="C114">
        <v>310.55900621118013</v>
      </c>
      <c r="D114">
        <v>329.91752061984505</v>
      </c>
      <c r="E114" t="s">
        <v>49</v>
      </c>
    </row>
    <row r="115" spans="1:6">
      <c r="A115" s="1" t="s">
        <v>247</v>
      </c>
      <c r="B115">
        <v>345.54423216566096</v>
      </c>
      <c r="C115">
        <v>312.30635766513814</v>
      </c>
      <c r="D115">
        <v>327.86885245901635</v>
      </c>
    </row>
    <row r="116" spans="1:6">
      <c r="A116" s="1" t="s">
        <v>248</v>
      </c>
      <c r="B116">
        <v>336.93327061972354</v>
      </c>
      <c r="C116">
        <v>319.76744186046511</v>
      </c>
      <c r="D116">
        <v>334.50490849593984</v>
      </c>
    </row>
    <row r="117" spans="1:6">
      <c r="A117" s="1" t="s">
        <v>249</v>
      </c>
      <c r="B117">
        <v>346.05597870713558</v>
      </c>
      <c r="C117">
        <v>322.08588957055218</v>
      </c>
      <c r="D117">
        <v>351.72081135087484</v>
      </c>
    </row>
    <row r="118" spans="1:6">
      <c r="A118" s="1" t="s">
        <v>250</v>
      </c>
      <c r="B118" t="e">
        <f>NA()</f>
        <v>#N/A</v>
      </c>
      <c r="C118">
        <v>307.33768728390322</v>
      </c>
      <c r="D118">
        <v>343.11287916459474</v>
      </c>
      <c r="E118" t="s">
        <v>15</v>
      </c>
    </row>
    <row r="119" spans="1:6">
      <c r="A119" s="1" t="s">
        <v>251</v>
      </c>
      <c r="B119">
        <v>347.17545828656938</v>
      </c>
      <c r="C119">
        <v>322.51122581728146</v>
      </c>
      <c r="D119">
        <v>295.96744358120611</v>
      </c>
    </row>
    <row r="120" spans="1:6">
      <c r="A120" t="s">
        <v>252</v>
      </c>
      <c r="B120">
        <v>348.10443132939884</v>
      </c>
      <c r="C120" t="e">
        <f>NA()</f>
        <v>#N/A</v>
      </c>
      <c r="D120">
        <v>328.15413300186452</v>
      </c>
      <c r="F120" t="s">
        <v>42</v>
      </c>
    </row>
    <row r="121" spans="1:6">
      <c r="A121" t="s">
        <v>253</v>
      </c>
      <c r="B121">
        <v>362.93841202490421</v>
      </c>
      <c r="C121">
        <v>301.81086519114689</v>
      </c>
      <c r="D121">
        <v>329.71150243536903</v>
      </c>
    </row>
    <row r="122" spans="1:6">
      <c r="A122" t="s">
        <v>254</v>
      </c>
      <c r="B122">
        <v>354.59760125152093</v>
      </c>
      <c r="C122">
        <v>331.49171270718227</v>
      </c>
      <c r="D122">
        <v>324.8031496062992</v>
      </c>
    </row>
    <row r="123" spans="1:6">
      <c r="A123" t="s">
        <v>256</v>
      </c>
      <c r="B123">
        <v>426.65080255309294</v>
      </c>
      <c r="C123">
        <v>366.50547213031302</v>
      </c>
      <c r="D123">
        <v>368.36935166994101</v>
      </c>
    </row>
    <row r="124" spans="1:6">
      <c r="A124" s="1" t="s">
        <v>257</v>
      </c>
      <c r="B124">
        <v>411.44230047300846</v>
      </c>
      <c r="C124">
        <v>416.82747973755306</v>
      </c>
      <c r="D124">
        <v>391.76293319939725</v>
      </c>
    </row>
    <row r="125" spans="1:6">
      <c r="A125" s="1"/>
    </row>
    <row r="126" spans="1:6">
      <c r="A126" s="4" t="s">
        <v>18</v>
      </c>
      <c r="B126">
        <v>18</v>
      </c>
    </row>
    <row r="127" spans="1:6">
      <c r="A127" s="4" t="s">
        <v>191</v>
      </c>
      <c r="B127">
        <v>4</v>
      </c>
    </row>
    <row r="128" spans="1:6">
      <c r="A128" s="4" t="s">
        <v>192</v>
      </c>
      <c r="B128">
        <v>14</v>
      </c>
    </row>
    <row r="129" spans="1:7">
      <c r="A129" s="6" t="s">
        <v>193</v>
      </c>
      <c r="B129">
        <v>22.222222222222221</v>
      </c>
    </row>
    <row r="130" spans="1:7">
      <c r="A130" s="1"/>
    </row>
    <row r="131" spans="1:7">
      <c r="A131" s="4" t="s">
        <v>19</v>
      </c>
      <c r="B131">
        <v>-7.2524441637489216</v>
      </c>
    </row>
    <row r="132" spans="1:7">
      <c r="A132" s="1" t="s">
        <v>20</v>
      </c>
      <c r="B132">
        <v>302.97741040167307</v>
      </c>
    </row>
    <row r="133" spans="1:7">
      <c r="A133" s="1" t="s">
        <v>23</v>
      </c>
      <c r="B133">
        <v>17.406246304176932</v>
      </c>
    </row>
    <row r="134" spans="1:7">
      <c r="A134" s="1" t="s">
        <v>24</v>
      </c>
      <c r="B134">
        <v>4.1026915988955963</v>
      </c>
    </row>
    <row r="135" spans="1:7">
      <c r="A135" s="1" t="s">
        <v>21</v>
      </c>
      <c r="B135">
        <v>-1.7677283288125307</v>
      </c>
    </row>
    <row r="136" spans="1:7">
      <c r="A136" s="4" t="s">
        <v>22</v>
      </c>
      <c r="B136">
        <f>TDIST(ABS(B135),17,1)</f>
        <v>4.7524482963640459E-2</v>
      </c>
    </row>
    <row r="137" spans="1:7">
      <c r="A137" s="1"/>
    </row>
    <row r="138" spans="1:7">
      <c r="A138" s="5" t="s">
        <v>1776</v>
      </c>
    </row>
    <row r="139" spans="1:7">
      <c r="A139" s="4" t="s">
        <v>7</v>
      </c>
      <c r="B139" s="3" t="s">
        <v>8</v>
      </c>
      <c r="C139" s="3" t="s">
        <v>9</v>
      </c>
      <c r="D139" s="3" t="s">
        <v>10</v>
      </c>
      <c r="E139" s="3" t="s">
        <v>11</v>
      </c>
      <c r="F139" s="3" t="s">
        <v>12</v>
      </c>
      <c r="G139" s="3" t="s">
        <v>13</v>
      </c>
    </row>
    <row r="140" spans="1:7">
      <c r="A140" s="1" t="s">
        <v>260</v>
      </c>
      <c r="B140">
        <v>373.38414657826127</v>
      </c>
      <c r="C140">
        <v>337.32583720361771</v>
      </c>
      <c r="D140">
        <v>342.24686984988961</v>
      </c>
    </row>
    <row r="141" spans="1:7">
      <c r="A141" s="1" t="s">
        <v>261</v>
      </c>
      <c r="B141">
        <v>357.57286318659845</v>
      </c>
      <c r="C141">
        <v>350.34272658035036</v>
      </c>
      <c r="D141">
        <v>345.22329076203471</v>
      </c>
    </row>
    <row r="142" spans="1:7">
      <c r="A142" s="1" t="s">
        <v>262</v>
      </c>
      <c r="B142">
        <v>361.33784590881947</v>
      </c>
      <c r="C142">
        <v>347.16981132075472</v>
      </c>
      <c r="D142">
        <v>336.47718582717306</v>
      </c>
    </row>
    <row r="143" spans="1:7">
      <c r="A143" s="1" t="s">
        <v>263</v>
      </c>
      <c r="B143">
        <v>365.05237531755927</v>
      </c>
      <c r="C143">
        <v>341.2884876963027</v>
      </c>
      <c r="D143">
        <v>347.9576399394856</v>
      </c>
    </row>
    <row r="144" spans="1:7">
      <c r="A144" t="s">
        <v>264</v>
      </c>
      <c r="B144">
        <v>338.78072702935498</v>
      </c>
      <c r="C144">
        <v>320</v>
      </c>
      <c r="D144" t="e">
        <f>NA()</f>
        <v>#N/A</v>
      </c>
      <c r="G144" t="s">
        <v>17</v>
      </c>
    </row>
    <row r="145" spans="1:7">
      <c r="A145" t="s">
        <v>265</v>
      </c>
      <c r="B145">
        <v>364.85949529962846</v>
      </c>
      <c r="C145">
        <v>321.38757811503632</v>
      </c>
      <c r="D145">
        <v>333.16506814740029</v>
      </c>
    </row>
    <row r="146" spans="1:7">
      <c r="A146" t="s">
        <v>266</v>
      </c>
      <c r="B146">
        <v>327.36548917962369</v>
      </c>
      <c r="C146">
        <v>308.67221950024498</v>
      </c>
      <c r="D146">
        <v>326.44985779646345</v>
      </c>
    </row>
    <row r="147" spans="1:7">
      <c r="A147" t="s">
        <v>267</v>
      </c>
      <c r="B147">
        <v>331.16736496148923</v>
      </c>
      <c r="C147">
        <v>306.68127053669224</v>
      </c>
      <c r="D147">
        <v>312.81032770605759</v>
      </c>
    </row>
    <row r="148" spans="1:7">
      <c r="A148" s="1" t="s">
        <v>268</v>
      </c>
      <c r="B148" t="e">
        <f>NA()</f>
        <v>#N/A</v>
      </c>
      <c r="C148" t="e">
        <f>NA()</f>
        <v>#N/A</v>
      </c>
      <c r="D148" t="e">
        <f>NA()</f>
        <v>#N/A</v>
      </c>
      <c r="E148" t="s">
        <v>43</v>
      </c>
      <c r="F148" t="s">
        <v>43</v>
      </c>
      <c r="G148" t="s">
        <v>17</v>
      </c>
    </row>
    <row r="149" spans="1:7">
      <c r="A149" s="1" t="s">
        <v>269</v>
      </c>
      <c r="B149">
        <v>331.60627880850461</v>
      </c>
      <c r="C149" t="e">
        <f>NA()</f>
        <v>#N/A</v>
      </c>
      <c r="D149" t="e">
        <f>NA()</f>
        <v>#N/A</v>
      </c>
      <c r="F149" t="s">
        <v>43</v>
      </c>
      <c r="G149" t="s">
        <v>17</v>
      </c>
    </row>
    <row r="150" spans="1:7">
      <c r="A150" s="1" t="s">
        <v>270</v>
      </c>
      <c r="B150" t="e">
        <f>NA()</f>
        <v>#N/A</v>
      </c>
      <c r="C150" t="e">
        <f>NA()</f>
        <v>#N/A</v>
      </c>
      <c r="D150">
        <v>309.58230958230962</v>
      </c>
      <c r="E150" t="s">
        <v>15</v>
      </c>
      <c r="F150" t="s">
        <v>17</v>
      </c>
    </row>
    <row r="151" spans="1:7">
      <c r="A151" s="1" t="s">
        <v>271</v>
      </c>
      <c r="B151" t="e">
        <f>NA()</f>
        <v>#N/A</v>
      </c>
      <c r="C151">
        <v>315.15757878939468</v>
      </c>
      <c r="D151">
        <v>333.67037411526798</v>
      </c>
      <c r="E151" t="s">
        <v>44</v>
      </c>
    </row>
    <row r="152" spans="1:7">
      <c r="A152" s="1" t="s">
        <v>272</v>
      </c>
      <c r="B152">
        <v>347.40940401317761</v>
      </c>
      <c r="C152">
        <v>304.01737242128121</v>
      </c>
      <c r="D152">
        <v>332.409972299169</v>
      </c>
    </row>
    <row r="153" spans="1:7">
      <c r="A153" s="1" t="s">
        <v>273</v>
      </c>
      <c r="B153">
        <v>338.9662520442044</v>
      </c>
      <c r="C153">
        <v>315.31531531531527</v>
      </c>
      <c r="D153">
        <v>335.86741269513323</v>
      </c>
    </row>
    <row r="154" spans="1:7">
      <c r="A154" s="1" t="s">
        <v>274</v>
      </c>
      <c r="B154">
        <v>327.12267100162563</v>
      </c>
      <c r="C154">
        <v>364.74251767239167</v>
      </c>
      <c r="D154">
        <v>322.61830020071142</v>
      </c>
    </row>
    <row r="155" spans="1:7">
      <c r="A155" s="1" t="s">
        <v>275</v>
      </c>
      <c r="B155" t="e">
        <f>NA()</f>
        <v>#N/A</v>
      </c>
      <c r="C155">
        <v>324.53316162266577</v>
      </c>
      <c r="D155">
        <v>337.1610065966284</v>
      </c>
      <c r="E155" t="s">
        <v>55</v>
      </c>
    </row>
    <row r="156" spans="1:7">
      <c r="A156" t="s">
        <v>276</v>
      </c>
      <c r="B156">
        <v>355.93220338983053</v>
      </c>
      <c r="C156">
        <v>339.8596231991134</v>
      </c>
      <c r="D156">
        <v>319.14893617021278</v>
      </c>
    </row>
    <row r="157" spans="1:7">
      <c r="A157" t="s">
        <v>278</v>
      </c>
      <c r="B157">
        <v>422.06091446531468</v>
      </c>
      <c r="C157">
        <v>365.76073152146301</v>
      </c>
      <c r="D157">
        <v>373.78519810615501</v>
      </c>
    </row>
    <row r="158" spans="1:7">
      <c r="A158" t="s">
        <v>279</v>
      </c>
      <c r="B158">
        <v>380.55285040077911</v>
      </c>
      <c r="C158">
        <v>334.60076045627375</v>
      </c>
      <c r="D158">
        <v>348.39686947740466</v>
      </c>
    </row>
    <row r="160" spans="1:7">
      <c r="A160" s="4" t="s">
        <v>18</v>
      </c>
      <c r="B160">
        <v>15</v>
      </c>
    </row>
    <row r="161" spans="1:7">
      <c r="A161" s="4" t="s">
        <v>191</v>
      </c>
      <c r="B161">
        <v>4</v>
      </c>
    </row>
    <row r="162" spans="1:7">
      <c r="A162" s="4" t="s">
        <v>192</v>
      </c>
      <c r="B162">
        <v>11</v>
      </c>
    </row>
    <row r="163" spans="1:7">
      <c r="A163" s="6" t="s">
        <v>193</v>
      </c>
      <c r="B163">
        <v>26.666666666666668</v>
      </c>
    </row>
    <row r="164" spans="1:7">
      <c r="A164" s="1"/>
    </row>
    <row r="165" spans="1:7">
      <c r="A165" s="4" t="s">
        <v>19</v>
      </c>
      <c r="B165">
        <v>-4.7022211825525986</v>
      </c>
    </row>
    <row r="166" spans="1:7">
      <c r="A166" s="1" t="s">
        <v>20</v>
      </c>
      <c r="B166">
        <v>325.62230212773187</v>
      </c>
    </row>
    <row r="167" spans="1:7">
      <c r="A167" t="s">
        <v>23</v>
      </c>
      <c r="B167">
        <v>18.04500767879393</v>
      </c>
    </row>
    <row r="168" spans="1:7">
      <c r="A168" t="s">
        <v>24</v>
      </c>
      <c r="B168">
        <v>4.6592009481435896</v>
      </c>
    </row>
    <row r="169" spans="1:7">
      <c r="A169" t="s">
        <v>21</v>
      </c>
      <c r="B169">
        <v>-1.0092333932122308</v>
      </c>
    </row>
    <row r="170" spans="1:7">
      <c r="A170" s="3" t="s">
        <v>22</v>
      </c>
      <c r="B170">
        <f>TDIST(ABS(B169),14,1)</f>
        <v>0.16499418092905255</v>
      </c>
    </row>
    <row r="171" spans="1:7">
      <c r="A171" s="1"/>
    </row>
    <row r="172" spans="1:7">
      <c r="A172" s="5" t="s">
        <v>1777</v>
      </c>
    </row>
    <row r="173" spans="1:7">
      <c r="A173" s="4" t="s">
        <v>7</v>
      </c>
      <c r="B173" s="3" t="s">
        <v>8</v>
      </c>
      <c r="C173" s="3" t="s">
        <v>9</v>
      </c>
      <c r="D173" s="3" t="s">
        <v>10</v>
      </c>
      <c r="E173" s="3" t="s">
        <v>11</v>
      </c>
      <c r="F173" s="3" t="s">
        <v>12</v>
      </c>
      <c r="G173" s="3" t="s">
        <v>13</v>
      </c>
    </row>
    <row r="174" spans="1:7">
      <c r="A174" s="1" t="s">
        <v>282</v>
      </c>
      <c r="B174">
        <v>352.10914380297942</v>
      </c>
      <c r="C174">
        <v>325.96616866279783</v>
      </c>
      <c r="D174">
        <v>342.43176178660048</v>
      </c>
    </row>
    <row r="175" spans="1:7">
      <c r="A175" s="1" t="s">
        <v>283</v>
      </c>
      <c r="B175">
        <v>352.51941844254134</v>
      </c>
      <c r="C175">
        <v>330.82706766917289</v>
      </c>
      <c r="D175">
        <v>338.02816901408448</v>
      </c>
    </row>
    <row r="176" spans="1:7">
      <c r="A176" s="1" t="s">
        <v>284</v>
      </c>
      <c r="B176">
        <v>364.59510357815446</v>
      </c>
      <c r="C176">
        <v>341.24629080118694</v>
      </c>
      <c r="D176">
        <v>337.07865168539325</v>
      </c>
    </row>
    <row r="177" spans="1:5">
      <c r="A177" s="1" t="s">
        <v>285</v>
      </c>
      <c r="B177">
        <v>343.20674475863609</v>
      </c>
      <c r="C177">
        <v>326.32880098887517</v>
      </c>
      <c r="D177">
        <v>329.71150243536903</v>
      </c>
    </row>
    <row r="178" spans="1:5">
      <c r="A178" s="1" t="s">
        <v>286</v>
      </c>
      <c r="B178">
        <v>327.16358179089542</v>
      </c>
      <c r="C178">
        <v>355.59945672305219</v>
      </c>
      <c r="D178">
        <v>328.15413300186452</v>
      </c>
    </row>
    <row r="179" spans="1:5">
      <c r="A179" s="1" t="s">
        <v>287</v>
      </c>
      <c r="B179">
        <v>328.75126398524935</v>
      </c>
      <c r="C179">
        <v>314.52820768846726</v>
      </c>
      <c r="D179">
        <v>328.68525896414343</v>
      </c>
    </row>
    <row r="180" spans="1:5">
      <c r="A180" s="1" t="s">
        <v>288</v>
      </c>
      <c r="B180">
        <v>320.81488691855606</v>
      </c>
      <c r="C180">
        <v>303.98986700443317</v>
      </c>
      <c r="D180">
        <v>345.36515169684617</v>
      </c>
    </row>
    <row r="181" spans="1:5">
      <c r="A181" s="1" t="s">
        <v>289</v>
      </c>
      <c r="B181">
        <v>344.44556350085605</v>
      </c>
      <c r="C181">
        <v>315.51270815074497</v>
      </c>
      <c r="D181">
        <v>314.41048034934499</v>
      </c>
    </row>
    <row r="182" spans="1:5">
      <c r="A182" s="1" t="s">
        <v>290</v>
      </c>
      <c r="B182" t="e">
        <f>NA()</f>
        <v>#N/A</v>
      </c>
      <c r="C182">
        <v>314.96062992125985</v>
      </c>
      <c r="D182">
        <v>318.62435200404605</v>
      </c>
      <c r="E182" t="s">
        <v>17</v>
      </c>
    </row>
    <row r="183" spans="1:5">
      <c r="A183" s="1" t="s">
        <v>291</v>
      </c>
      <c r="B183">
        <v>321.37761870197482</v>
      </c>
      <c r="C183">
        <v>308.52105778648382</v>
      </c>
      <c r="D183">
        <v>313.39385648551172</v>
      </c>
    </row>
    <row r="184" spans="1:5">
      <c r="A184" s="1" t="s">
        <v>292</v>
      </c>
      <c r="B184">
        <v>334.98666533735451</v>
      </c>
      <c r="C184">
        <v>304.80060960121921</v>
      </c>
      <c r="D184">
        <v>311.57270029673589</v>
      </c>
    </row>
    <row r="185" spans="1:5">
      <c r="A185" s="1" t="s">
        <v>293</v>
      </c>
      <c r="B185">
        <v>325.10132695790651</v>
      </c>
      <c r="C185">
        <v>316.42390758412859</v>
      </c>
      <c r="D185">
        <v>293.73872713218248</v>
      </c>
    </row>
    <row r="186" spans="1:5">
      <c r="A186" s="1" t="s">
        <v>294</v>
      </c>
      <c r="B186">
        <v>341.28330505937532</v>
      </c>
      <c r="C186">
        <v>331.86675047140164</v>
      </c>
      <c r="D186">
        <v>316.50339110776184</v>
      </c>
    </row>
    <row r="187" spans="1:5">
      <c r="A187" t="s">
        <v>295</v>
      </c>
      <c r="B187">
        <v>345.64809016906702</v>
      </c>
      <c r="C187">
        <v>338.00895415782594</v>
      </c>
      <c r="D187">
        <v>347.30086825217057</v>
      </c>
    </row>
    <row r="188" spans="1:5">
      <c r="A188" t="s">
        <v>296</v>
      </c>
      <c r="B188">
        <v>368.48912266613684</v>
      </c>
      <c r="C188">
        <v>305.42122677526083</v>
      </c>
      <c r="D188">
        <v>294.37017048939043</v>
      </c>
    </row>
    <row r="189" spans="1:5">
      <c r="A189" t="s">
        <v>297</v>
      </c>
      <c r="B189">
        <v>330.47919483250718</v>
      </c>
      <c r="C189">
        <v>342.32365145228215</v>
      </c>
      <c r="D189">
        <v>305.88835075197551</v>
      </c>
    </row>
    <row r="190" spans="1:5">
      <c r="A190" t="s">
        <v>298</v>
      </c>
      <c r="B190">
        <v>360.7756676855239</v>
      </c>
      <c r="C190">
        <v>309.54428202923475</v>
      </c>
      <c r="D190">
        <v>303.37504740235119</v>
      </c>
    </row>
    <row r="191" spans="1:5">
      <c r="A191" s="1"/>
    </row>
    <row r="192" spans="1:5">
      <c r="A192" s="4" t="s">
        <v>18</v>
      </c>
      <c r="B192">
        <v>17</v>
      </c>
    </row>
    <row r="193" spans="1:7">
      <c r="A193" s="4" t="s">
        <v>191</v>
      </c>
      <c r="B193">
        <v>8</v>
      </c>
    </row>
    <row r="194" spans="1:7">
      <c r="A194" s="4" t="s">
        <v>192</v>
      </c>
      <c r="B194">
        <v>9</v>
      </c>
    </row>
    <row r="195" spans="1:7">
      <c r="A195" s="6" t="s">
        <v>193</v>
      </c>
      <c r="B195">
        <v>47.058823529411768</v>
      </c>
    </row>
    <row r="196" spans="1:7">
      <c r="A196" s="1"/>
    </row>
    <row r="197" spans="1:7">
      <c r="A197" s="4" t="s">
        <v>19</v>
      </c>
      <c r="B197">
        <v>1.0139449771797162</v>
      </c>
    </row>
    <row r="198" spans="1:7">
      <c r="A198" s="1" t="s">
        <v>20</v>
      </c>
      <c r="B198">
        <v>338.0523512170696</v>
      </c>
    </row>
    <row r="199" spans="1:7">
      <c r="A199" s="1" t="s">
        <v>23</v>
      </c>
      <c r="B199">
        <v>18.38620002113187</v>
      </c>
    </row>
    <row r="200" spans="1:7">
      <c r="A200" s="1" t="s">
        <v>24</v>
      </c>
      <c r="B200">
        <v>4.4593085141682565</v>
      </c>
    </row>
    <row r="201" spans="1:7">
      <c r="A201" s="1" t="s">
        <v>21</v>
      </c>
      <c r="B201">
        <v>0.22737717607072444</v>
      </c>
    </row>
    <row r="202" spans="1:7">
      <c r="A202" s="4" t="s">
        <v>22</v>
      </c>
      <c r="B202">
        <f>TDIST(ABS(B201),16,1)</f>
        <v>0.41150520278920139</v>
      </c>
    </row>
    <row r="203" spans="1:7">
      <c r="A203" s="1"/>
    </row>
    <row r="204" spans="1:7">
      <c r="A204" s="5" t="s">
        <v>1778</v>
      </c>
    </row>
    <row r="205" spans="1:7">
      <c r="A205" s="4" t="s">
        <v>7</v>
      </c>
      <c r="B205" s="3" t="s">
        <v>8</v>
      </c>
      <c r="C205" s="3" t="s">
        <v>9</v>
      </c>
      <c r="D205" s="3" t="s">
        <v>10</v>
      </c>
      <c r="E205" s="3" t="s">
        <v>11</v>
      </c>
      <c r="F205" s="3" t="s">
        <v>12</v>
      </c>
      <c r="G205" s="3" t="s">
        <v>13</v>
      </c>
    </row>
    <row r="206" spans="1:7">
      <c r="A206" t="s">
        <v>300</v>
      </c>
      <c r="B206">
        <v>364.46856131063629</v>
      </c>
      <c r="C206">
        <v>352.81146637265709</v>
      </c>
      <c r="D206">
        <v>383.35003953405896</v>
      </c>
    </row>
    <row r="207" spans="1:7">
      <c r="A207" t="s">
        <v>301</v>
      </c>
      <c r="B207" t="e">
        <f>NA()</f>
        <v>#N/A</v>
      </c>
      <c r="C207">
        <v>332.36994219653178</v>
      </c>
      <c r="D207">
        <v>356.78889990089198</v>
      </c>
      <c r="E207" t="s">
        <v>15</v>
      </c>
    </row>
    <row r="208" spans="1:7">
      <c r="A208" t="s">
        <v>302</v>
      </c>
      <c r="B208" t="e">
        <f>NA()</f>
        <v>#N/A</v>
      </c>
      <c r="C208">
        <v>363.90101892285298</v>
      </c>
      <c r="D208">
        <v>384.61538461538464</v>
      </c>
      <c r="E208" t="s">
        <v>16</v>
      </c>
    </row>
    <row r="209" spans="1:7">
      <c r="A209" t="s">
        <v>303</v>
      </c>
      <c r="B209">
        <v>350.77199820116925</v>
      </c>
      <c r="C209">
        <v>336.79072605247103</v>
      </c>
      <c r="D209">
        <v>359.95500562429697</v>
      </c>
    </row>
    <row r="210" spans="1:7">
      <c r="A210" s="1" t="s">
        <v>304</v>
      </c>
      <c r="B210">
        <v>335.2008074021868</v>
      </c>
      <c r="C210">
        <v>332.409972299169</v>
      </c>
      <c r="D210">
        <v>345.25894420815609</v>
      </c>
    </row>
    <row r="211" spans="1:7">
      <c r="A211" s="1" t="s">
        <v>305</v>
      </c>
      <c r="B211">
        <v>336.55994043186894</v>
      </c>
      <c r="C211">
        <v>319.83754283538519</v>
      </c>
      <c r="D211">
        <v>312.5</v>
      </c>
    </row>
    <row r="212" spans="1:7">
      <c r="A212" s="1" t="s">
        <v>306</v>
      </c>
      <c r="B212">
        <v>343.31612289162922</v>
      </c>
      <c r="C212">
        <v>295.63932002956392</v>
      </c>
      <c r="D212">
        <v>305.38051381483274</v>
      </c>
    </row>
    <row r="213" spans="1:7">
      <c r="A213" s="1" t="s">
        <v>307</v>
      </c>
      <c r="B213">
        <v>335.47260585683904</v>
      </c>
      <c r="C213">
        <v>297.10324337707357</v>
      </c>
      <c r="D213">
        <v>329.71150243536903</v>
      </c>
    </row>
    <row r="214" spans="1:7">
      <c r="A214" s="1" t="s">
        <v>308</v>
      </c>
      <c r="B214">
        <v>337.33001417775489</v>
      </c>
      <c r="C214">
        <v>305.19559161923218</v>
      </c>
      <c r="D214" t="e">
        <f>NA()</f>
        <v>#N/A</v>
      </c>
      <c r="G214" t="s">
        <v>46</v>
      </c>
    </row>
    <row r="215" spans="1:7">
      <c r="A215" s="1" t="s">
        <v>309</v>
      </c>
      <c r="B215" t="e">
        <f>NA()</f>
        <v>#N/A</v>
      </c>
      <c r="C215">
        <v>303.54131534569984</v>
      </c>
      <c r="D215">
        <v>315.35477412088602</v>
      </c>
      <c r="E215" t="s">
        <v>17</v>
      </c>
    </row>
    <row r="216" spans="1:7">
      <c r="A216" s="1" t="s">
        <v>310</v>
      </c>
      <c r="B216">
        <v>325.9475365307714</v>
      </c>
      <c r="C216">
        <v>299.58806640868806</v>
      </c>
      <c r="D216">
        <v>302.22893842085381</v>
      </c>
    </row>
    <row r="217" spans="1:7">
      <c r="A217" s="1" t="s">
        <v>311</v>
      </c>
      <c r="B217">
        <v>341.99255187866203</v>
      </c>
      <c r="C217">
        <v>301.09145652992095</v>
      </c>
      <c r="D217">
        <v>307.41642116049701</v>
      </c>
    </row>
    <row r="218" spans="1:7">
      <c r="A218" t="s">
        <v>312</v>
      </c>
      <c r="B218">
        <v>340.50674233483164</v>
      </c>
      <c r="C218" t="e">
        <f>NA()</f>
        <v>#N/A</v>
      </c>
      <c r="D218">
        <v>295.82152101565384</v>
      </c>
      <c r="F218" t="s">
        <v>45</v>
      </c>
    </row>
    <row r="219" spans="1:7">
      <c r="A219" t="s">
        <v>313</v>
      </c>
      <c r="B219">
        <v>326.37173441125833</v>
      </c>
      <c r="C219">
        <v>301.24262583155513</v>
      </c>
      <c r="D219">
        <v>285.89341692789969</v>
      </c>
    </row>
    <row r="220" spans="1:7">
      <c r="A220" t="s">
        <v>314</v>
      </c>
      <c r="B220">
        <v>323.87854554542042</v>
      </c>
      <c r="C220">
        <v>297.67589303965656</v>
      </c>
      <c r="D220">
        <v>315.90823617901464</v>
      </c>
    </row>
    <row r="221" spans="1:7">
      <c r="A221" t="s">
        <v>315</v>
      </c>
      <c r="B221">
        <v>335.16179356851694</v>
      </c>
      <c r="C221">
        <v>292.90853031860223</v>
      </c>
      <c r="D221">
        <v>294.73167137418636</v>
      </c>
    </row>
    <row r="222" spans="1:7">
      <c r="A222" s="1"/>
    </row>
    <row r="223" spans="1:7">
      <c r="A223" s="4" t="s">
        <v>18</v>
      </c>
      <c r="B223">
        <v>14</v>
      </c>
    </row>
    <row r="224" spans="1:7">
      <c r="A224" s="4" t="s">
        <v>191</v>
      </c>
      <c r="B224">
        <v>2</v>
      </c>
    </row>
    <row r="225" spans="1:7">
      <c r="A225" s="4" t="s">
        <v>192</v>
      </c>
      <c r="B225">
        <v>12</v>
      </c>
    </row>
    <row r="226" spans="1:7">
      <c r="A226" s="6" t="s">
        <v>193</v>
      </c>
      <c r="B226">
        <v>14.285714285714286</v>
      </c>
    </row>
    <row r="227" spans="1:7">
      <c r="A227" s="1"/>
    </row>
    <row r="228" spans="1:7">
      <c r="A228" s="4" t="s">
        <v>19</v>
      </c>
      <c r="B228">
        <v>-12.298759196892901</v>
      </c>
    </row>
    <row r="229" spans="1:7">
      <c r="A229" t="s">
        <v>20</v>
      </c>
      <c r="B229">
        <v>193.22528191083035</v>
      </c>
    </row>
    <row r="230" spans="1:7">
      <c r="A230" t="s">
        <v>23</v>
      </c>
      <c r="B230">
        <v>13.90054969815332</v>
      </c>
    </row>
    <row r="231" spans="1:7">
      <c r="A231" t="s">
        <v>24</v>
      </c>
      <c r="B231">
        <v>3.715078175593832</v>
      </c>
    </row>
    <row r="232" spans="1:7">
      <c r="A232" t="s">
        <v>21</v>
      </c>
      <c r="B232">
        <v>-3.3104980879512773</v>
      </c>
    </row>
    <row r="233" spans="1:7">
      <c r="A233" s="4" t="s">
        <v>22</v>
      </c>
      <c r="B233">
        <f>TDIST(ABS(B232),13,1)</f>
        <v>2.8163997126553061E-3</v>
      </c>
    </row>
    <row r="234" spans="1:7">
      <c r="A234" s="1"/>
    </row>
    <row r="235" spans="1:7">
      <c r="A235" s="5" t="s">
        <v>1779</v>
      </c>
    </row>
    <row r="236" spans="1:7">
      <c r="A236" s="4" t="s">
        <v>7</v>
      </c>
      <c r="B236" s="3" t="s">
        <v>8</v>
      </c>
      <c r="C236" s="3" t="s">
        <v>9</v>
      </c>
      <c r="D236" s="3" t="s">
        <v>10</v>
      </c>
      <c r="E236" s="3" t="s">
        <v>11</v>
      </c>
      <c r="F236" s="3" t="s">
        <v>12</v>
      </c>
      <c r="G236" s="3" t="s">
        <v>13</v>
      </c>
    </row>
    <row r="237" spans="1:7">
      <c r="A237" s="1" t="s">
        <v>316</v>
      </c>
      <c r="B237">
        <v>358.00706987830921</v>
      </c>
      <c r="C237">
        <v>342.38928172683291</v>
      </c>
      <c r="D237">
        <v>349.32287052271863</v>
      </c>
    </row>
    <row r="238" spans="1:7">
      <c r="A238" s="1" t="s">
        <v>317</v>
      </c>
      <c r="B238">
        <v>352.29468295987755</v>
      </c>
      <c r="C238">
        <v>342.47425238863383</v>
      </c>
      <c r="D238">
        <v>363.36109008327026</v>
      </c>
    </row>
    <row r="239" spans="1:7">
      <c r="A239" s="1" t="s">
        <v>318</v>
      </c>
      <c r="B239">
        <v>384.07681536307263</v>
      </c>
      <c r="C239">
        <v>345.56153749843497</v>
      </c>
      <c r="D239">
        <v>354.11287347842125</v>
      </c>
    </row>
    <row r="240" spans="1:7">
      <c r="A240" s="1" t="s">
        <v>319</v>
      </c>
      <c r="B240">
        <v>365.54050652031617</v>
      </c>
      <c r="C240">
        <v>338.6786401539448</v>
      </c>
      <c r="D240">
        <v>332.95497540673477</v>
      </c>
    </row>
    <row r="241" spans="1:7">
      <c r="A241" t="s">
        <v>320</v>
      </c>
      <c r="B241">
        <v>314.55223099446505</v>
      </c>
      <c r="C241">
        <v>310.80414405525408</v>
      </c>
      <c r="D241">
        <v>327.29932509250176</v>
      </c>
    </row>
    <row r="242" spans="1:7">
      <c r="A242" t="s">
        <v>321</v>
      </c>
      <c r="B242">
        <v>333.89316421427316</v>
      </c>
      <c r="C242">
        <v>306.70926517571888</v>
      </c>
      <c r="D242">
        <v>323.96613081359675</v>
      </c>
    </row>
    <row r="243" spans="1:7">
      <c r="A243" t="s">
        <v>322</v>
      </c>
      <c r="B243" t="e">
        <f>NA()</f>
        <v>#N/A</v>
      </c>
      <c r="C243">
        <v>311.72879594752567</v>
      </c>
      <c r="D243">
        <v>329.13601795287371</v>
      </c>
      <c r="E243" t="s">
        <v>47</v>
      </c>
    </row>
    <row r="244" spans="1:7">
      <c r="A244" t="s">
        <v>323</v>
      </c>
      <c r="B244">
        <v>336.28584296652156</v>
      </c>
      <c r="C244">
        <v>347.69463340891912</v>
      </c>
      <c r="D244">
        <v>335.96334945278693</v>
      </c>
    </row>
    <row r="245" spans="1:7">
      <c r="A245" s="1" t="s">
        <v>324</v>
      </c>
      <c r="B245">
        <v>320.91977005748566</v>
      </c>
      <c r="C245">
        <v>332.91298865069359</v>
      </c>
      <c r="D245">
        <v>306.19684082624548</v>
      </c>
    </row>
    <row r="246" spans="1:7">
      <c r="A246" s="1" t="s">
        <v>325</v>
      </c>
      <c r="B246" t="e">
        <f>NA()</f>
        <v>#N/A</v>
      </c>
      <c r="C246">
        <v>298.247794209022</v>
      </c>
      <c r="D246">
        <v>290.24065787882449</v>
      </c>
      <c r="E246" t="s">
        <v>15</v>
      </c>
    </row>
    <row r="247" spans="1:7">
      <c r="A247" s="1" t="s">
        <v>326</v>
      </c>
      <c r="B247">
        <v>320.67765844804114</v>
      </c>
      <c r="C247">
        <v>304.72320975114269</v>
      </c>
      <c r="D247">
        <v>294.29797670141022</v>
      </c>
    </row>
    <row r="248" spans="1:7">
      <c r="A248" s="1" t="s">
        <v>327</v>
      </c>
      <c r="B248">
        <v>327.84419881194071</v>
      </c>
      <c r="C248">
        <v>296.41185647425897</v>
      </c>
      <c r="D248">
        <v>318.06134040136311</v>
      </c>
    </row>
    <row r="249" spans="1:7">
      <c r="A249" s="1" t="s">
        <v>328</v>
      </c>
      <c r="B249">
        <v>329.99132002059787</v>
      </c>
      <c r="C249" t="e">
        <f>NA()</f>
        <v>#N/A</v>
      </c>
      <c r="D249" t="e">
        <f>NA()</f>
        <v>#N/A</v>
      </c>
      <c r="F249" t="s">
        <v>48</v>
      </c>
      <c r="G249" t="s">
        <v>49</v>
      </c>
    </row>
    <row r="250" spans="1:7">
      <c r="A250" s="1" t="s">
        <v>329</v>
      </c>
      <c r="B250" t="e">
        <f>NA()</f>
        <v>#N/A</v>
      </c>
      <c r="C250">
        <v>289.01001394346559</v>
      </c>
      <c r="D250">
        <v>298.21073558648112</v>
      </c>
      <c r="E250" t="s">
        <v>50</v>
      </c>
    </row>
    <row r="251" spans="1:7">
      <c r="A251" s="1" t="s">
        <v>330</v>
      </c>
      <c r="B251">
        <v>304.53063966362299</v>
      </c>
      <c r="C251">
        <v>291.58060988944237</v>
      </c>
      <c r="D251">
        <v>314.68531468531467</v>
      </c>
    </row>
    <row r="252" spans="1:7">
      <c r="A252" s="1" t="s">
        <v>331</v>
      </c>
      <c r="B252">
        <v>318.46026084430594</v>
      </c>
      <c r="C252">
        <v>291.93528767789803</v>
      </c>
      <c r="D252">
        <v>303.79746835443041</v>
      </c>
    </row>
    <row r="253" spans="1:7">
      <c r="A253" s="1"/>
    </row>
    <row r="254" spans="1:7">
      <c r="A254" s="4" t="s">
        <v>18</v>
      </c>
      <c r="B254">
        <v>15</v>
      </c>
    </row>
    <row r="255" spans="1:7">
      <c r="A255" s="3" t="s">
        <v>191</v>
      </c>
      <c r="B255">
        <v>5</v>
      </c>
    </row>
    <row r="256" spans="1:7">
      <c r="A256" s="3" t="s">
        <v>192</v>
      </c>
      <c r="B256">
        <v>10</v>
      </c>
    </row>
    <row r="257" spans="1:7">
      <c r="A257" s="6" t="s">
        <v>193</v>
      </c>
      <c r="B257">
        <v>33.333333333333336</v>
      </c>
    </row>
    <row r="259" spans="1:7">
      <c r="A259" s="4" t="s">
        <v>19</v>
      </c>
      <c r="B259">
        <v>-6.0496437523857374</v>
      </c>
    </row>
    <row r="260" spans="1:7">
      <c r="A260" s="1" t="s">
        <v>20</v>
      </c>
      <c r="B260">
        <v>226.15833664919788</v>
      </c>
    </row>
    <row r="261" spans="1:7">
      <c r="A261" s="1" t="s">
        <v>23</v>
      </c>
      <c r="B261">
        <v>15.038561654932225</v>
      </c>
    </row>
    <row r="262" spans="1:7">
      <c r="A262" s="1" t="s">
        <v>24</v>
      </c>
      <c r="B262">
        <v>3.8829399226977306</v>
      </c>
    </row>
    <row r="263" spans="1:7">
      <c r="A263" s="1" t="s">
        <v>21</v>
      </c>
      <c r="B263">
        <v>-1.5580060142116896</v>
      </c>
    </row>
    <row r="264" spans="1:7">
      <c r="A264" s="4" t="s">
        <v>22</v>
      </c>
      <c r="B264">
        <f>TDIST(ABS(B263),14,1)</f>
        <v>7.077241752310931E-2</v>
      </c>
    </row>
    <row r="265" spans="1:7">
      <c r="A265" s="1"/>
    </row>
    <row r="266" spans="1:7">
      <c r="A266" s="5" t="s">
        <v>1780</v>
      </c>
    </row>
    <row r="267" spans="1:7">
      <c r="A267" s="4" t="s">
        <v>7</v>
      </c>
      <c r="B267" s="3" t="s">
        <v>8</v>
      </c>
      <c r="C267" s="3" t="s">
        <v>9</v>
      </c>
      <c r="D267" s="3" t="s">
        <v>10</v>
      </c>
      <c r="E267" s="3" t="s">
        <v>11</v>
      </c>
      <c r="F267" s="3" t="s">
        <v>12</v>
      </c>
      <c r="G267" s="3" t="s">
        <v>13</v>
      </c>
    </row>
    <row r="268" spans="1:7">
      <c r="A268" s="1" t="s">
        <v>332</v>
      </c>
      <c r="B268">
        <v>362.82434371448119</v>
      </c>
      <c r="C268">
        <v>324.44959443800695</v>
      </c>
      <c r="D268">
        <v>334.91081179468512</v>
      </c>
    </row>
    <row r="269" spans="1:7">
      <c r="A269" s="1" t="s">
        <v>333</v>
      </c>
      <c r="B269">
        <v>363.36963729717849</v>
      </c>
      <c r="C269">
        <v>339.94334277620396</v>
      </c>
      <c r="D269">
        <v>337.42331288343559</v>
      </c>
    </row>
    <row r="270" spans="1:7">
      <c r="A270" s="1" t="s">
        <v>334</v>
      </c>
      <c r="B270">
        <v>352.77207380959823</v>
      </c>
      <c r="C270">
        <v>332.11724745250973</v>
      </c>
      <c r="D270">
        <v>331.09404990403073</v>
      </c>
    </row>
    <row r="271" spans="1:7">
      <c r="A271" s="1" t="s">
        <v>335</v>
      </c>
      <c r="B271">
        <v>342.08552138034509</v>
      </c>
      <c r="C271">
        <v>321.79424670892246</v>
      </c>
      <c r="D271">
        <v>335.0172826375964</v>
      </c>
    </row>
    <row r="272" spans="1:7">
      <c r="A272" s="1" t="s">
        <v>336</v>
      </c>
      <c r="B272">
        <v>332.82297127505922</v>
      </c>
      <c r="C272">
        <v>305.11060259344015</v>
      </c>
      <c r="D272" t="e">
        <f>NA()</f>
        <v>#N/A</v>
      </c>
      <c r="G272" t="s">
        <v>52</v>
      </c>
    </row>
    <row r="273" spans="1:5">
      <c r="A273" s="1" t="s">
        <v>337</v>
      </c>
      <c r="B273">
        <v>355.14437066328435</v>
      </c>
      <c r="C273">
        <v>316.0667251975417</v>
      </c>
      <c r="D273">
        <v>309.69644832247758</v>
      </c>
    </row>
    <row r="274" spans="1:5">
      <c r="A274" t="s">
        <v>338</v>
      </c>
      <c r="B274">
        <v>332.85021740216899</v>
      </c>
      <c r="C274">
        <v>308.14380044020544</v>
      </c>
      <c r="D274">
        <v>314.17528986410673</v>
      </c>
    </row>
    <row r="275" spans="1:5">
      <c r="A275" t="s">
        <v>339</v>
      </c>
      <c r="B275" t="e">
        <f>NA()</f>
        <v>#N/A</v>
      </c>
      <c r="C275">
        <v>293.47406358604712</v>
      </c>
      <c r="D275">
        <v>296.62588060808304</v>
      </c>
      <c r="E275" t="s">
        <v>29</v>
      </c>
    </row>
    <row r="276" spans="1:5">
      <c r="A276" t="s">
        <v>340</v>
      </c>
      <c r="B276">
        <v>340.11387293385837</v>
      </c>
      <c r="C276">
        <v>301.39394700489765</v>
      </c>
      <c r="D276">
        <v>292.45767060030784</v>
      </c>
    </row>
    <row r="277" spans="1:5">
      <c r="A277" t="s">
        <v>341</v>
      </c>
      <c r="B277">
        <v>357.70564131402784</v>
      </c>
      <c r="C277">
        <v>316.10637230306071</v>
      </c>
      <c r="D277">
        <v>312.57752418754654</v>
      </c>
    </row>
    <row r="278" spans="1:5">
      <c r="A278" s="1" t="s">
        <v>342</v>
      </c>
      <c r="B278" t="e">
        <f>NA()</f>
        <v>#N/A</v>
      </c>
      <c r="C278">
        <v>290.62727052555101</v>
      </c>
      <c r="D278">
        <v>308.40778362501533</v>
      </c>
      <c r="E278" t="s">
        <v>53</v>
      </c>
    </row>
    <row r="279" spans="1:5">
      <c r="A279" s="1" t="s">
        <v>343</v>
      </c>
      <c r="B279">
        <v>304.66039917550648</v>
      </c>
      <c r="C279">
        <v>288.79625657150962</v>
      </c>
      <c r="D279">
        <v>309.01287553648069</v>
      </c>
    </row>
    <row r="280" spans="1:5">
      <c r="A280" s="1" t="s">
        <v>344</v>
      </c>
      <c r="B280" t="e">
        <f>NA()</f>
        <v>#N/A</v>
      </c>
      <c r="C280">
        <v>311.40521603736863</v>
      </c>
      <c r="D280">
        <v>309.65839272548538</v>
      </c>
      <c r="E280" t="s">
        <v>51</v>
      </c>
    </row>
    <row r="281" spans="1:5">
      <c r="A281" s="1" t="s">
        <v>345</v>
      </c>
      <c r="B281">
        <v>329.93643426495817</v>
      </c>
      <c r="C281">
        <v>296.18659755646058</v>
      </c>
      <c r="D281">
        <v>299.32651534048392</v>
      </c>
    </row>
    <row r="282" spans="1:5">
      <c r="A282" s="1" t="s">
        <v>346</v>
      </c>
      <c r="B282" t="e">
        <f>NA()</f>
        <v>#N/A</v>
      </c>
      <c r="C282">
        <v>296.06544604596809</v>
      </c>
      <c r="D282">
        <v>319.83754283538519</v>
      </c>
      <c r="E282" t="s">
        <v>29</v>
      </c>
    </row>
    <row r="283" spans="1:5">
      <c r="A283" s="1" t="s">
        <v>347</v>
      </c>
      <c r="B283">
        <v>318.41044130218927</v>
      </c>
      <c r="C283">
        <v>292.00632680374741</v>
      </c>
      <c r="D283">
        <v>317.78058007566204</v>
      </c>
    </row>
    <row r="284" spans="1:5">
      <c r="A284" s="1"/>
    </row>
    <row r="285" spans="1:5">
      <c r="A285" s="4" t="s">
        <v>18</v>
      </c>
      <c r="B285">
        <v>15</v>
      </c>
    </row>
    <row r="286" spans="1:5">
      <c r="A286" s="4" t="s">
        <v>191</v>
      </c>
      <c r="B286">
        <v>6</v>
      </c>
    </row>
    <row r="287" spans="1:5">
      <c r="A287" s="4" t="s">
        <v>192</v>
      </c>
      <c r="B287">
        <v>9</v>
      </c>
    </row>
    <row r="288" spans="1:5">
      <c r="A288" s="6" t="s">
        <v>193</v>
      </c>
      <c r="B288">
        <v>40</v>
      </c>
    </row>
    <row r="289" spans="1:7">
      <c r="A289" s="1"/>
    </row>
    <row r="290" spans="1:7">
      <c r="A290" s="4" t="s">
        <v>19</v>
      </c>
      <c r="B290">
        <v>-6.6283671661854022</v>
      </c>
    </row>
    <row r="291" spans="1:7">
      <c r="A291" s="1" t="s">
        <v>20</v>
      </c>
      <c r="B291">
        <v>127.07507366343495</v>
      </c>
    </row>
    <row r="292" spans="1:7">
      <c r="A292" s="1" t="s">
        <v>23</v>
      </c>
      <c r="B292">
        <v>11.272758032683702</v>
      </c>
    </row>
    <row r="293" spans="1:7">
      <c r="A293" s="1" t="s">
        <v>24</v>
      </c>
      <c r="B293">
        <v>2.9106136084273242</v>
      </c>
    </row>
    <row r="294" spans="1:7">
      <c r="A294" t="s">
        <v>21</v>
      </c>
      <c r="B294">
        <v>-2.2773092062078524</v>
      </c>
    </row>
    <row r="295" spans="1:7">
      <c r="A295" s="3" t="s">
        <v>22</v>
      </c>
      <c r="B295">
        <f>TDIST(ABS(B294),14,1)</f>
        <v>1.9495126961448513E-2</v>
      </c>
    </row>
    <row r="297" spans="1:7">
      <c r="A297" s="2" t="s">
        <v>1781</v>
      </c>
    </row>
    <row r="298" spans="1:7">
      <c r="A298" s="4" t="s">
        <v>7</v>
      </c>
      <c r="B298" s="3" t="s">
        <v>8</v>
      </c>
      <c r="C298" s="3" t="s">
        <v>9</v>
      </c>
      <c r="D298" s="3" t="s">
        <v>10</v>
      </c>
      <c r="E298" s="3" t="s">
        <v>11</v>
      </c>
      <c r="F298" s="3" t="s">
        <v>12</v>
      </c>
      <c r="G298" s="3" t="s">
        <v>13</v>
      </c>
    </row>
    <row r="299" spans="1:7">
      <c r="A299" s="1" t="s">
        <v>348</v>
      </c>
      <c r="B299" t="e">
        <f>NA()</f>
        <v>#N/A</v>
      </c>
      <c r="C299">
        <v>321.42857142857144</v>
      </c>
      <c r="D299">
        <v>321.30562284839982</v>
      </c>
      <c r="E299" t="s">
        <v>43</v>
      </c>
    </row>
    <row r="300" spans="1:7">
      <c r="A300" s="1" t="s">
        <v>349</v>
      </c>
      <c r="B300">
        <v>347.29303672240997</v>
      </c>
      <c r="C300">
        <v>321.83347555772281</v>
      </c>
      <c r="D300">
        <v>344.31137724550899</v>
      </c>
    </row>
    <row r="301" spans="1:7">
      <c r="A301" s="1" t="s">
        <v>350</v>
      </c>
      <c r="B301" t="e">
        <f>NA()</f>
        <v>#N/A</v>
      </c>
      <c r="C301" t="e">
        <f>NA()</f>
        <v>#N/A</v>
      </c>
      <c r="D301">
        <v>336.72506283988952</v>
      </c>
      <c r="E301" t="s">
        <v>29</v>
      </c>
      <c r="F301" t="s">
        <v>17</v>
      </c>
    </row>
    <row r="302" spans="1:7">
      <c r="A302" s="1" t="s">
        <v>351</v>
      </c>
      <c r="B302">
        <v>346.11423838047563</v>
      </c>
      <c r="C302">
        <v>328.15413300186452</v>
      </c>
      <c r="D302">
        <v>377.41075090568688</v>
      </c>
    </row>
    <row r="303" spans="1:7">
      <c r="A303" s="1" t="s">
        <v>352</v>
      </c>
      <c r="B303">
        <v>325.9475365307714</v>
      </c>
      <c r="C303">
        <v>299.17726252804783</v>
      </c>
      <c r="D303">
        <v>336.30573248407643</v>
      </c>
    </row>
    <row r="304" spans="1:7">
      <c r="A304" t="s">
        <v>353</v>
      </c>
      <c r="B304">
        <v>321.02407680576044</v>
      </c>
      <c r="C304">
        <v>317.62036803629945</v>
      </c>
      <c r="D304">
        <v>309.23850019327409</v>
      </c>
    </row>
    <row r="305" spans="1:5">
      <c r="A305" t="s">
        <v>354</v>
      </c>
      <c r="B305">
        <v>317.46031746031747</v>
      </c>
      <c r="C305">
        <v>293.05912596401026</v>
      </c>
      <c r="D305">
        <v>316.46364435514249</v>
      </c>
    </row>
    <row r="306" spans="1:5">
      <c r="A306" t="s">
        <v>355</v>
      </c>
      <c r="B306">
        <v>333.37504692779373</v>
      </c>
      <c r="C306">
        <v>313.97956640917016</v>
      </c>
      <c r="D306">
        <v>325.20325203252031</v>
      </c>
    </row>
    <row r="307" spans="1:5">
      <c r="A307" t="s">
        <v>356</v>
      </c>
      <c r="B307">
        <v>293.69895856746837</v>
      </c>
      <c r="C307">
        <v>283.4763148079075</v>
      </c>
      <c r="D307">
        <v>308.20598433286244</v>
      </c>
    </row>
    <row r="308" spans="1:5">
      <c r="A308" s="1" t="s">
        <v>357</v>
      </c>
      <c r="B308">
        <v>299.73024278149666</v>
      </c>
      <c r="C308">
        <v>283.35301062573791</v>
      </c>
      <c r="D308">
        <v>306.01092896174862</v>
      </c>
    </row>
    <row r="309" spans="1:5">
      <c r="A309" s="1" t="s">
        <v>358</v>
      </c>
      <c r="B309">
        <v>299.57310832064309</v>
      </c>
      <c r="C309">
        <v>286.25235404896421</v>
      </c>
      <c r="D309">
        <v>313.58885017421608</v>
      </c>
    </row>
    <row r="310" spans="1:5">
      <c r="A310" s="1" t="s">
        <v>359</v>
      </c>
      <c r="B310">
        <v>327.93461364889941</v>
      </c>
      <c r="C310">
        <v>299.85007496251876</v>
      </c>
      <c r="D310">
        <v>315.11100501312961</v>
      </c>
    </row>
    <row r="311" spans="1:5">
      <c r="A311" s="1" t="s">
        <v>360</v>
      </c>
      <c r="B311">
        <v>329.54687304955689</v>
      </c>
      <c r="C311">
        <v>288.09704321455649</v>
      </c>
      <c r="D311">
        <v>284.53762635716959</v>
      </c>
    </row>
    <row r="312" spans="1:5">
      <c r="A312" t="s">
        <v>361</v>
      </c>
      <c r="B312" t="e">
        <f>NA()</f>
        <v>#N/A</v>
      </c>
      <c r="C312">
        <v>372.16226274655753</v>
      </c>
      <c r="D312">
        <v>291.93528767789803</v>
      </c>
      <c r="E312" t="s">
        <v>49</v>
      </c>
    </row>
    <row r="313" spans="1:5">
      <c r="A313" t="s">
        <v>362</v>
      </c>
      <c r="B313">
        <v>327.55476528155333</v>
      </c>
      <c r="C313">
        <v>321.48075986361425</v>
      </c>
      <c r="D313">
        <v>306.5134099616858</v>
      </c>
    </row>
    <row r="314" spans="1:5">
      <c r="A314" t="s">
        <v>363</v>
      </c>
      <c r="B314">
        <v>312.81331461800681</v>
      </c>
      <c r="C314">
        <v>306.7185978578384</v>
      </c>
      <c r="D314">
        <v>300.67652217489348</v>
      </c>
    </row>
    <row r="316" spans="1:5">
      <c r="A316" s="4" t="s">
        <v>18</v>
      </c>
      <c r="B316">
        <v>15</v>
      </c>
    </row>
    <row r="317" spans="1:5">
      <c r="A317" s="4" t="s">
        <v>191</v>
      </c>
      <c r="B317">
        <v>6</v>
      </c>
    </row>
    <row r="318" spans="1:5">
      <c r="A318" s="4" t="s">
        <v>192</v>
      </c>
      <c r="B318">
        <v>9</v>
      </c>
    </row>
    <row r="319" spans="1:5">
      <c r="A319" s="6" t="s">
        <v>193</v>
      </c>
      <c r="B319">
        <v>40</v>
      </c>
    </row>
    <row r="320" spans="1:5">
      <c r="A320" s="1"/>
    </row>
    <row r="321" spans="1:7">
      <c r="A321" s="4" t="s">
        <v>19</v>
      </c>
      <c r="B321">
        <v>-8.0117049109887404</v>
      </c>
    </row>
    <row r="322" spans="1:7">
      <c r="A322" s="1" t="s">
        <v>20</v>
      </c>
      <c r="B322">
        <v>921.8484990989075</v>
      </c>
    </row>
    <row r="323" spans="1:7">
      <c r="A323" s="1" t="s">
        <v>23</v>
      </c>
      <c r="B323">
        <v>30.361958090658572</v>
      </c>
    </row>
    <row r="324" spans="1:7">
      <c r="A324" s="1" t="s">
        <v>24</v>
      </c>
      <c r="B324">
        <v>7.8394238695578791</v>
      </c>
    </row>
    <row r="325" spans="1:7">
      <c r="A325" s="1" t="s">
        <v>21</v>
      </c>
      <c r="B325">
        <v>-1.0219762375778487</v>
      </c>
    </row>
    <row r="326" spans="1:7">
      <c r="A326" s="4" t="s">
        <v>22</v>
      </c>
      <c r="B326">
        <f>TDIST(ABS(B325),14,1)</f>
        <v>0.16206408902894043</v>
      </c>
    </row>
    <row r="327" spans="1:7">
      <c r="A327" s="1"/>
    </row>
    <row r="328" spans="1:7">
      <c r="A328" s="5" t="s">
        <v>1782</v>
      </c>
    </row>
    <row r="329" spans="1:7">
      <c r="A329" s="4" t="s">
        <v>7</v>
      </c>
      <c r="B329" s="3" t="s">
        <v>8</v>
      </c>
      <c r="C329" s="3" t="s">
        <v>9</v>
      </c>
      <c r="D329" s="3" t="s">
        <v>10</v>
      </c>
      <c r="E329" s="3" t="s">
        <v>11</v>
      </c>
      <c r="F329" s="3" t="s">
        <v>12</v>
      </c>
      <c r="G329" s="3" t="s">
        <v>13</v>
      </c>
    </row>
    <row r="330" spans="1:7">
      <c r="A330" s="1" t="s">
        <v>364</v>
      </c>
      <c r="B330" t="e">
        <f>NA()</f>
        <v>#N/A</v>
      </c>
      <c r="C330">
        <v>326.31384278462218</v>
      </c>
      <c r="D330">
        <v>321.44161694873981</v>
      </c>
      <c r="E330" t="s">
        <v>15</v>
      </c>
    </row>
    <row r="331" spans="1:7">
      <c r="A331" s="1" t="s">
        <v>365</v>
      </c>
      <c r="B331" t="e">
        <f>NA()</f>
        <v>#N/A</v>
      </c>
      <c r="C331">
        <v>324.12523020257822</v>
      </c>
      <c r="D331">
        <v>328.15413300186452</v>
      </c>
      <c r="E331" t="s">
        <v>15</v>
      </c>
    </row>
    <row r="332" spans="1:7">
      <c r="A332" s="1" t="s">
        <v>366</v>
      </c>
      <c r="B332">
        <v>367.61794170951919</v>
      </c>
      <c r="C332">
        <v>333.62820674838878</v>
      </c>
      <c r="D332">
        <v>326.97547683923705</v>
      </c>
    </row>
    <row r="333" spans="1:7">
      <c r="A333" t="s">
        <v>367</v>
      </c>
      <c r="B333">
        <v>354.7561672421931</v>
      </c>
      <c r="C333">
        <v>325.20325203252031</v>
      </c>
      <c r="D333">
        <v>348.79496185055103</v>
      </c>
    </row>
    <row r="334" spans="1:7">
      <c r="A334" t="s">
        <v>368</v>
      </c>
      <c r="B334" t="e">
        <f>NA()</f>
        <v>#N/A</v>
      </c>
      <c r="C334">
        <v>324.32432432432432</v>
      </c>
      <c r="D334">
        <v>341.03546274558261</v>
      </c>
      <c r="E334" t="s">
        <v>54</v>
      </c>
    </row>
    <row r="335" spans="1:7">
      <c r="A335" t="s">
        <v>369</v>
      </c>
      <c r="B335">
        <v>340.94307646296483</v>
      </c>
      <c r="C335">
        <v>312.69388261570913</v>
      </c>
      <c r="D335">
        <v>334.05954974582426</v>
      </c>
    </row>
    <row r="336" spans="1:7">
      <c r="A336" t="s">
        <v>370</v>
      </c>
      <c r="B336">
        <v>370.09177072363474</v>
      </c>
      <c r="C336">
        <v>316.54314784574808</v>
      </c>
      <c r="D336">
        <v>317.26048092660204</v>
      </c>
    </row>
    <row r="337" spans="1:7">
      <c r="A337" s="1" t="s">
        <v>371</v>
      </c>
      <c r="B337">
        <v>326.52653652204305</v>
      </c>
      <c r="C337">
        <v>300.41306796845663</v>
      </c>
      <c r="D337">
        <v>326.89450222882618</v>
      </c>
    </row>
    <row r="338" spans="1:7">
      <c r="A338" s="1" t="s">
        <v>372</v>
      </c>
      <c r="B338">
        <v>319.63635556494233</v>
      </c>
      <c r="C338">
        <v>309.34152052064326</v>
      </c>
      <c r="D338">
        <v>322.78724221852184</v>
      </c>
    </row>
    <row r="339" spans="1:7">
      <c r="A339" s="1" t="s">
        <v>373</v>
      </c>
      <c r="B339">
        <v>313.22942549506814</v>
      </c>
      <c r="C339">
        <v>294.80407812308073</v>
      </c>
      <c r="D339">
        <v>322.22629073599416</v>
      </c>
    </row>
    <row r="340" spans="1:7">
      <c r="A340" s="1" t="s">
        <v>374</v>
      </c>
      <c r="B340">
        <v>323.76153232138228</v>
      </c>
      <c r="C340">
        <v>302.41935483870969</v>
      </c>
      <c r="D340">
        <v>301.65912518853696</v>
      </c>
    </row>
    <row r="341" spans="1:7">
      <c r="A341" s="1" t="s">
        <v>375</v>
      </c>
      <c r="B341">
        <v>303.67567838440527</v>
      </c>
      <c r="C341">
        <v>323.86081213945022</v>
      </c>
      <c r="D341" t="e">
        <f>NA()</f>
        <v>#N/A</v>
      </c>
      <c r="G341" t="s">
        <v>17</v>
      </c>
    </row>
    <row r="342" spans="1:7">
      <c r="A342" s="1" t="s">
        <v>376</v>
      </c>
      <c r="B342">
        <v>317.96489798127806</v>
      </c>
      <c r="C342">
        <v>281.82941903584674</v>
      </c>
      <c r="D342">
        <v>297.28725380899294</v>
      </c>
    </row>
    <row r="343" spans="1:7">
      <c r="A343" s="1" t="s">
        <v>377</v>
      </c>
      <c r="B343">
        <v>302.43459851807046</v>
      </c>
      <c r="C343">
        <v>277.13625866050813</v>
      </c>
      <c r="D343">
        <v>316.14602935641705</v>
      </c>
    </row>
    <row r="344" spans="1:7">
      <c r="A344" s="1" t="s">
        <v>378</v>
      </c>
      <c r="B344">
        <v>291.93418940609951</v>
      </c>
      <c r="C344">
        <v>307.65474301062142</v>
      </c>
      <c r="D344">
        <v>310.11567807039137</v>
      </c>
    </row>
    <row r="345" spans="1:7">
      <c r="A345" s="1" t="s">
        <v>379</v>
      </c>
      <c r="B345">
        <v>315.13393192106645</v>
      </c>
      <c r="C345">
        <v>288.42504743833018</v>
      </c>
      <c r="D345">
        <v>301.88679245283015</v>
      </c>
    </row>
    <row r="346" spans="1:7">
      <c r="A346" s="1"/>
    </row>
    <row r="347" spans="1:7">
      <c r="A347" s="4" t="s">
        <v>18</v>
      </c>
      <c r="B347">
        <v>15</v>
      </c>
    </row>
    <row r="348" spans="1:7">
      <c r="A348" s="4" t="s">
        <v>191</v>
      </c>
      <c r="B348">
        <v>3</v>
      </c>
    </row>
    <row r="349" spans="1:7">
      <c r="A349" s="4" t="s">
        <v>192</v>
      </c>
      <c r="B349">
        <v>12</v>
      </c>
    </row>
    <row r="350" spans="1:7">
      <c r="A350" s="6" t="s">
        <v>193</v>
      </c>
      <c r="B350">
        <v>20</v>
      </c>
    </row>
    <row r="352" spans="1:7">
      <c r="A352" s="3" t="s">
        <v>19</v>
      </c>
      <c r="B352">
        <v>-12.791281331254945</v>
      </c>
    </row>
    <row r="353" spans="1:7">
      <c r="A353" t="s">
        <v>20</v>
      </c>
      <c r="B353">
        <v>178.95747402212783</v>
      </c>
    </row>
    <row r="354" spans="1:7">
      <c r="A354" t="s">
        <v>23</v>
      </c>
      <c r="B354">
        <v>13.377498795444827</v>
      </c>
    </row>
    <row r="355" spans="1:7">
      <c r="A355" s="1" t="s">
        <v>24</v>
      </c>
      <c r="B355">
        <v>3.4540553365778401</v>
      </c>
    </row>
    <row r="356" spans="1:7">
      <c r="A356" s="1" t="s">
        <v>21</v>
      </c>
      <c r="B356">
        <v>-3.7032647380594974</v>
      </c>
    </row>
    <row r="357" spans="1:7">
      <c r="A357" s="3" t="s">
        <v>22</v>
      </c>
      <c r="B357">
        <f>TDIST(ABS(B356),14,1)</f>
        <v>1.1810020972003248E-3</v>
      </c>
    </row>
    <row r="359" spans="1:7">
      <c r="A359" s="2" t="s">
        <v>1783</v>
      </c>
    </row>
    <row r="360" spans="1:7">
      <c r="A360" s="3" t="s">
        <v>7</v>
      </c>
      <c r="B360" s="3" t="s">
        <v>8</v>
      </c>
      <c r="C360" s="3" t="s">
        <v>9</v>
      </c>
      <c r="D360" s="3" t="s">
        <v>10</v>
      </c>
      <c r="E360" s="3" t="s">
        <v>11</v>
      </c>
      <c r="F360" s="3" t="s">
        <v>12</v>
      </c>
      <c r="G360" s="3" t="s">
        <v>13</v>
      </c>
    </row>
    <row r="361" spans="1:7">
      <c r="A361" s="1" t="s">
        <v>380</v>
      </c>
      <c r="B361">
        <v>345</v>
      </c>
      <c r="C361">
        <v>335.40846144073174</v>
      </c>
      <c r="D361">
        <v>355.21235521235519</v>
      </c>
    </row>
    <row r="362" spans="1:7">
      <c r="A362" s="1" t="s">
        <v>381</v>
      </c>
      <c r="B362">
        <v>350.15088410604284</v>
      </c>
      <c r="C362">
        <v>335.49370949294706</v>
      </c>
      <c r="D362">
        <v>357.49751737835152</v>
      </c>
    </row>
    <row r="363" spans="1:7">
      <c r="A363" t="s">
        <v>382</v>
      </c>
      <c r="B363">
        <v>341.49629296787242</v>
      </c>
      <c r="C363">
        <v>331.78333542792512</v>
      </c>
      <c r="D363">
        <v>378.02419354838707</v>
      </c>
    </row>
    <row r="364" spans="1:7">
      <c r="A364" t="s">
        <v>383</v>
      </c>
      <c r="B364">
        <v>367.93299431648222</v>
      </c>
      <c r="C364">
        <v>328.60343539955193</v>
      </c>
      <c r="D364">
        <v>321.22370936902485</v>
      </c>
    </row>
    <row r="365" spans="1:7">
      <c r="A365" t="s">
        <v>384</v>
      </c>
      <c r="B365">
        <v>321.02839905664126</v>
      </c>
      <c r="C365">
        <v>289.19146885166884</v>
      </c>
      <c r="D365">
        <v>315.63126252505009</v>
      </c>
    </row>
    <row r="366" spans="1:7">
      <c r="A366" t="s">
        <v>385</v>
      </c>
      <c r="B366">
        <v>325.28487525726621</v>
      </c>
      <c r="C366">
        <v>319.26472366670697</v>
      </c>
      <c r="D366">
        <v>342.01321414691023</v>
      </c>
    </row>
    <row r="367" spans="1:7">
      <c r="A367" s="1" t="s">
        <v>386</v>
      </c>
      <c r="B367">
        <v>322.40245066037266</v>
      </c>
      <c r="C367">
        <v>309.81067125645438</v>
      </c>
      <c r="D367">
        <v>344.22549264155651</v>
      </c>
    </row>
    <row r="368" spans="1:7">
      <c r="A368" t="s">
        <v>387</v>
      </c>
      <c r="B368">
        <v>360.80278619929339</v>
      </c>
      <c r="C368">
        <v>314.44971300224609</v>
      </c>
      <c r="D368">
        <v>350.47619047619048</v>
      </c>
    </row>
    <row r="369" spans="1:7">
      <c r="A369" t="s">
        <v>388</v>
      </c>
      <c r="B369" t="e">
        <f>NA()</f>
        <v>#N/A</v>
      </c>
      <c r="C369">
        <v>333.94268803750799</v>
      </c>
      <c r="D369">
        <v>303.68214602049852</v>
      </c>
      <c r="E369" t="s">
        <v>40</v>
      </c>
    </row>
    <row r="370" spans="1:7">
      <c r="A370" t="s">
        <v>389</v>
      </c>
      <c r="B370">
        <v>351.64736851939824</v>
      </c>
      <c r="C370">
        <v>320.79418150464056</v>
      </c>
      <c r="D370" t="e">
        <f>NA()</f>
        <v>#N/A</v>
      </c>
      <c r="G370" t="s">
        <v>15</v>
      </c>
    </row>
    <row r="371" spans="1:7">
      <c r="A371" t="s">
        <v>390</v>
      </c>
      <c r="B371" t="e">
        <f>NA()</f>
        <v>#N/A</v>
      </c>
      <c r="C371">
        <v>304.76190476190476</v>
      </c>
      <c r="D371">
        <v>325.32920216886134</v>
      </c>
      <c r="E371" t="s">
        <v>49</v>
      </c>
    </row>
    <row r="372" spans="1:7">
      <c r="A372" s="1" t="s">
        <v>391</v>
      </c>
      <c r="B372">
        <v>341.37946323920232</v>
      </c>
      <c r="C372">
        <v>301.16702221106789</v>
      </c>
      <c r="D372">
        <v>306.3178047223995</v>
      </c>
    </row>
    <row r="373" spans="1:7">
      <c r="A373" t="s">
        <v>392</v>
      </c>
      <c r="B373">
        <v>286.10149073934645</v>
      </c>
      <c r="C373">
        <v>277.71010962241166</v>
      </c>
      <c r="D373">
        <v>308.12887874208178</v>
      </c>
    </row>
    <row r="374" spans="1:7">
      <c r="A374" t="s">
        <v>393</v>
      </c>
      <c r="B374">
        <v>306.83680055607965</v>
      </c>
      <c r="C374">
        <v>287.08133971291869</v>
      </c>
      <c r="D374">
        <v>317.1933197164484</v>
      </c>
    </row>
    <row r="375" spans="1:7">
      <c r="A375" t="s">
        <v>394</v>
      </c>
      <c r="B375">
        <v>309.05408446478134</v>
      </c>
      <c r="C375">
        <v>319.98466322068793</v>
      </c>
      <c r="D375">
        <v>304.90018148820326</v>
      </c>
    </row>
    <row r="376" spans="1:7">
      <c r="A376" t="s">
        <v>395</v>
      </c>
      <c r="B376" t="e">
        <f>NA()</f>
        <v>#N/A</v>
      </c>
      <c r="C376">
        <v>322.75700426133068</v>
      </c>
      <c r="D376">
        <v>326.61140665594456</v>
      </c>
      <c r="E376" t="s">
        <v>40</v>
      </c>
    </row>
    <row r="377" spans="1:7">
      <c r="A377" s="1"/>
    </row>
    <row r="378" spans="1:7">
      <c r="A378" s="3" t="s">
        <v>18</v>
      </c>
      <c r="B378">
        <v>15</v>
      </c>
    </row>
    <row r="379" spans="1:7">
      <c r="A379" s="3" t="s">
        <v>191</v>
      </c>
      <c r="B379">
        <v>3</v>
      </c>
    </row>
    <row r="380" spans="1:7">
      <c r="A380" s="3" t="s">
        <v>192</v>
      </c>
      <c r="B380">
        <v>12</v>
      </c>
    </row>
    <row r="381" spans="1:7">
      <c r="A381" s="6" t="s">
        <v>193</v>
      </c>
      <c r="B381">
        <v>20</v>
      </c>
    </row>
    <row r="382" spans="1:7">
      <c r="A382" s="1"/>
    </row>
    <row r="383" spans="1:7">
      <c r="A383" s="3" t="s">
        <v>19</v>
      </c>
      <c r="B383">
        <v>-16.337108296413433</v>
      </c>
    </row>
    <row r="384" spans="1:7">
      <c r="A384" t="s">
        <v>20</v>
      </c>
      <c r="B384">
        <v>443.14582429494311</v>
      </c>
    </row>
    <row r="385" spans="1:7">
      <c r="A385" t="s">
        <v>23</v>
      </c>
      <c r="B385">
        <v>21.051029055486648</v>
      </c>
    </row>
    <row r="386" spans="1:7">
      <c r="A386" t="s">
        <v>24</v>
      </c>
      <c r="B386">
        <v>5.4353523301618827</v>
      </c>
    </row>
    <row r="387" spans="1:7">
      <c r="A387" s="1" t="s">
        <v>21</v>
      </c>
      <c r="B387">
        <v>-3.0057128414206886</v>
      </c>
    </row>
    <row r="388" spans="1:7">
      <c r="A388" s="4" t="s">
        <v>22</v>
      </c>
      <c r="B388">
        <f>TDIST(ABS(B387),14,1)</f>
        <v>4.7219802073150139E-3</v>
      </c>
    </row>
    <row r="390" spans="1:7">
      <c r="A390" s="2" t="s">
        <v>1756</v>
      </c>
    </row>
    <row r="391" spans="1:7">
      <c r="A391" s="3" t="s">
        <v>7</v>
      </c>
      <c r="B391" s="3" t="s">
        <v>8</v>
      </c>
      <c r="C391" s="3" t="s">
        <v>9</v>
      </c>
      <c r="D391" s="3" t="s">
        <v>10</v>
      </c>
      <c r="E391" s="3" t="s">
        <v>11</v>
      </c>
      <c r="F391" s="3" t="s">
        <v>12</v>
      </c>
      <c r="G391" s="3" t="s">
        <v>13</v>
      </c>
    </row>
    <row r="392" spans="1:7">
      <c r="A392" t="s">
        <v>186</v>
      </c>
      <c r="B392">
        <v>370.14004626750574</v>
      </c>
      <c r="C392">
        <v>393.72949325555965</v>
      </c>
      <c r="D392">
        <v>355.76179427687549</v>
      </c>
    </row>
    <row r="393" spans="1:7">
      <c r="A393" s="1" t="s">
        <v>188</v>
      </c>
      <c r="B393" t="e">
        <f>NA()</f>
        <v>#N/A</v>
      </c>
      <c r="C393">
        <v>316.74208144796381</v>
      </c>
      <c r="D393">
        <v>315.67080045095827</v>
      </c>
      <c r="E393" t="s">
        <v>15</v>
      </c>
    </row>
    <row r="394" spans="1:7">
      <c r="A394" t="s">
        <v>190</v>
      </c>
      <c r="B394">
        <v>391.23238200331042</v>
      </c>
      <c r="C394">
        <v>341.11976269929551</v>
      </c>
      <c r="D394">
        <v>363.49867474441498</v>
      </c>
    </row>
    <row r="396" spans="1:7">
      <c r="A396" s="3" t="s">
        <v>18</v>
      </c>
      <c r="B396">
        <v>3</v>
      </c>
    </row>
    <row r="397" spans="1:7">
      <c r="A397" s="3" t="s">
        <v>191</v>
      </c>
      <c r="B397">
        <v>2</v>
      </c>
    </row>
    <row r="398" spans="1:7">
      <c r="A398" s="4" t="s">
        <v>192</v>
      </c>
      <c r="B398">
        <v>1</v>
      </c>
    </row>
    <row r="399" spans="1:7">
      <c r="A399" s="6" t="s">
        <v>193</v>
      </c>
      <c r="B399">
        <v>66.666666666666671</v>
      </c>
    </row>
    <row r="401" spans="1:7">
      <c r="A401" s="3" t="s">
        <v>19</v>
      </c>
      <c r="B401">
        <v>5.5533559768567402</v>
      </c>
    </row>
    <row r="402" spans="1:7">
      <c r="A402" t="s">
        <v>20</v>
      </c>
      <c r="B402">
        <v>925.49511260832048</v>
      </c>
    </row>
    <row r="403" spans="1:7">
      <c r="A403" s="1" t="s">
        <v>23</v>
      </c>
      <c r="B403">
        <v>30.421951163729137</v>
      </c>
    </row>
    <row r="404" spans="1:7">
      <c r="A404" t="s">
        <v>24</v>
      </c>
      <c r="B404">
        <v>17.564121693652666</v>
      </c>
    </row>
    <row r="405" spans="1:7">
      <c r="A405" t="s">
        <v>21</v>
      </c>
      <c r="B405">
        <v>0.31617612731888639</v>
      </c>
    </row>
    <row r="406" spans="1:7">
      <c r="A406" s="3" t="s">
        <v>22</v>
      </c>
      <c r="B406">
        <f>TDIST(ABS(B405),2,1)</f>
        <v>0.39090802370237188</v>
      </c>
    </row>
    <row r="408" spans="1:7">
      <c r="A408" s="5" t="s">
        <v>1757</v>
      </c>
    </row>
    <row r="409" spans="1:7">
      <c r="A409" s="3" t="s">
        <v>7</v>
      </c>
      <c r="B409" s="3" t="s">
        <v>8</v>
      </c>
      <c r="C409" s="3" t="s">
        <v>9</v>
      </c>
      <c r="D409" s="3" t="s">
        <v>10</v>
      </c>
      <c r="E409" s="3" t="s">
        <v>11</v>
      </c>
      <c r="F409" s="3" t="s">
        <v>12</v>
      </c>
      <c r="G409" s="3" t="s">
        <v>13</v>
      </c>
    </row>
    <row r="410" spans="1:7">
      <c r="A410" t="s">
        <v>211</v>
      </c>
      <c r="B410">
        <v>390.92845508081695</v>
      </c>
      <c r="C410">
        <v>343.66828539409789</v>
      </c>
      <c r="D410">
        <v>346.16831807349809</v>
      </c>
    </row>
    <row r="411" spans="1:7">
      <c r="A411" t="s">
        <v>213</v>
      </c>
      <c r="B411">
        <v>326.09508613597268</v>
      </c>
      <c r="C411">
        <v>320.488363220145</v>
      </c>
      <c r="D411">
        <v>303.46626333774066</v>
      </c>
    </row>
    <row r="412" spans="1:7">
      <c r="A412" t="s">
        <v>214</v>
      </c>
      <c r="B412">
        <v>341.91818068552021</v>
      </c>
      <c r="C412">
        <v>334.0503606225484</v>
      </c>
      <c r="D412">
        <v>317.66040589940752</v>
      </c>
    </row>
    <row r="413" spans="1:7">
      <c r="A413" s="1"/>
    </row>
    <row r="414" spans="1:7">
      <c r="A414" s="3" t="s">
        <v>18</v>
      </c>
      <c r="B414">
        <v>3</v>
      </c>
    </row>
    <row r="415" spans="1:7">
      <c r="A415" s="3" t="s">
        <v>191</v>
      </c>
      <c r="B415">
        <v>2</v>
      </c>
    </row>
    <row r="416" spans="1:7">
      <c r="A416" s="3" t="s">
        <v>192</v>
      </c>
      <c r="B416">
        <v>1</v>
      </c>
    </row>
    <row r="417" spans="1:7">
      <c r="A417" s="6" t="s">
        <v>193</v>
      </c>
      <c r="B417">
        <v>66.666666666666671</v>
      </c>
    </row>
    <row r="418" spans="1:7">
      <c r="A418" s="1"/>
    </row>
    <row r="419" spans="1:7">
      <c r="A419" s="3" t="s">
        <v>19</v>
      </c>
      <c r="B419">
        <v>10.304007308715009</v>
      </c>
    </row>
    <row r="420" spans="1:7">
      <c r="A420" t="s">
        <v>20</v>
      </c>
      <c r="B420">
        <v>123.05748188853491</v>
      </c>
    </row>
    <row r="421" spans="1:7">
      <c r="A421" t="s">
        <v>23</v>
      </c>
      <c r="B421">
        <v>11.093127687380818</v>
      </c>
    </row>
    <row r="422" spans="1:7">
      <c r="A422" t="s">
        <v>24</v>
      </c>
      <c r="B422">
        <v>6.4046202564642067</v>
      </c>
    </row>
    <row r="423" spans="1:7">
      <c r="A423" s="1" t="s">
        <v>21</v>
      </c>
      <c r="B423">
        <v>1.6088396963606293</v>
      </c>
    </row>
    <row r="424" spans="1:7">
      <c r="A424" s="4" t="s">
        <v>22</v>
      </c>
      <c r="B424">
        <f>TDIST(ABS(B423),2,1)</f>
        <v>0.12446208456173564</v>
      </c>
    </row>
    <row r="426" spans="1:7">
      <c r="A426" s="2" t="s">
        <v>1758</v>
      </c>
    </row>
    <row r="427" spans="1:7">
      <c r="A427" s="3" t="s">
        <v>7</v>
      </c>
      <c r="B427" s="3" t="s">
        <v>8</v>
      </c>
      <c r="C427" s="3" t="s">
        <v>9</v>
      </c>
      <c r="D427" s="3" t="s">
        <v>10</v>
      </c>
      <c r="E427" s="3" t="s">
        <v>11</v>
      </c>
      <c r="F427" s="3" t="s">
        <v>12</v>
      </c>
      <c r="G427" s="3" t="s">
        <v>13</v>
      </c>
    </row>
    <row r="428" spans="1:7">
      <c r="A428" t="s">
        <v>233</v>
      </c>
      <c r="B428">
        <v>362.15404375997508</v>
      </c>
      <c r="C428">
        <v>326.94675882268109</v>
      </c>
      <c r="D428">
        <v>326.8135677147809</v>
      </c>
    </row>
    <row r="429" spans="1:7">
      <c r="A429" s="1" t="s">
        <v>235</v>
      </c>
      <c r="B429">
        <v>417.78573560131304</v>
      </c>
      <c r="C429">
        <v>350.07610350076106</v>
      </c>
      <c r="D429">
        <v>350.60975609756093</v>
      </c>
    </row>
    <row r="430" spans="1:7">
      <c r="A430" t="s">
        <v>236</v>
      </c>
      <c r="B430">
        <v>396.74845253188158</v>
      </c>
      <c r="C430" t="e">
        <f>NA()</f>
        <v>#N/A</v>
      </c>
      <c r="D430">
        <v>432.75679700686902</v>
      </c>
      <c r="F430" t="s">
        <v>63</v>
      </c>
    </row>
    <row r="432" spans="1:7">
      <c r="A432" s="3" t="s">
        <v>18</v>
      </c>
      <c r="B432">
        <v>2</v>
      </c>
    </row>
    <row r="433" spans="1:7">
      <c r="A433" s="3" t="s">
        <v>191</v>
      </c>
      <c r="B433">
        <v>1</v>
      </c>
    </row>
    <row r="434" spans="1:7">
      <c r="A434" s="4" t="s">
        <v>192</v>
      </c>
      <c r="B434">
        <v>1</v>
      </c>
    </row>
    <row r="435" spans="1:7">
      <c r="A435" s="6" t="s">
        <v>193</v>
      </c>
      <c r="B435">
        <v>50</v>
      </c>
    </row>
    <row r="437" spans="1:7">
      <c r="A437" s="3" t="s">
        <v>19</v>
      </c>
      <c r="B437">
        <v>-0.2002307444498399</v>
      </c>
    </row>
    <row r="438" spans="1:7">
      <c r="A438" t="s">
        <v>20</v>
      </c>
      <c r="B438">
        <v>0.22234026324904815</v>
      </c>
    </row>
    <row r="439" spans="1:7">
      <c r="A439" t="s">
        <v>23</v>
      </c>
      <c r="B439">
        <v>0.47152970558496965</v>
      </c>
    </row>
    <row r="440" spans="1:7">
      <c r="A440" s="1" t="s">
        <v>24</v>
      </c>
      <c r="B440">
        <v>0.3334218523500283</v>
      </c>
    </row>
    <row r="441" spans="1:7">
      <c r="A441" s="1" t="s">
        <v>21</v>
      </c>
      <c r="B441">
        <v>-0.60053275764192093</v>
      </c>
    </row>
    <row r="442" spans="1:7">
      <c r="A442" s="3" t="s">
        <v>22</v>
      </c>
      <c r="B442">
        <f>TDIST(ABS(B441),1,1)</f>
        <v>0.32785446705113008</v>
      </c>
    </row>
    <row r="444" spans="1:7">
      <c r="A444" s="2" t="s">
        <v>1759</v>
      </c>
    </row>
    <row r="445" spans="1:7">
      <c r="A445" s="3" t="s">
        <v>7</v>
      </c>
      <c r="B445" s="3" t="s">
        <v>8</v>
      </c>
      <c r="C445" s="3" t="s">
        <v>9</v>
      </c>
      <c r="D445" s="3" t="s">
        <v>10</v>
      </c>
      <c r="E445" s="3" t="s">
        <v>11</v>
      </c>
      <c r="F445" s="3" t="s">
        <v>12</v>
      </c>
      <c r="G445" s="3" t="s">
        <v>13</v>
      </c>
    </row>
    <row r="446" spans="1:7">
      <c r="A446" s="1" t="s">
        <v>255</v>
      </c>
      <c r="B446">
        <v>369.66188855489031</v>
      </c>
      <c r="C446">
        <v>343.88238225766258</v>
      </c>
      <c r="D446">
        <v>307.29833546734955</v>
      </c>
    </row>
    <row r="447" spans="1:7">
      <c r="A447" t="s">
        <v>258</v>
      </c>
      <c r="B447">
        <v>419.22443479562804</v>
      </c>
      <c r="C447">
        <v>343.0702299564947</v>
      </c>
      <c r="D447">
        <v>356.43564356435644</v>
      </c>
    </row>
    <row r="448" spans="1:7">
      <c r="A448" t="s">
        <v>259</v>
      </c>
      <c r="B448">
        <v>367.96968488232949</v>
      </c>
      <c r="C448">
        <v>372.62451869333006</v>
      </c>
      <c r="D448">
        <v>348.61690034103822</v>
      </c>
    </row>
    <row r="450" spans="1:7">
      <c r="A450" s="3" t="s">
        <v>18</v>
      </c>
      <c r="B450">
        <v>3</v>
      </c>
    </row>
    <row r="451" spans="1:7">
      <c r="A451" s="4" t="s">
        <v>191</v>
      </c>
      <c r="B451">
        <v>2</v>
      </c>
    </row>
    <row r="452" spans="1:7">
      <c r="A452" s="4" t="s">
        <v>192</v>
      </c>
      <c r="B452">
        <v>1</v>
      </c>
    </row>
    <row r="453" spans="1:7">
      <c r="A453" s="6" t="s">
        <v>193</v>
      </c>
      <c r="B453">
        <v>66.666666666666671</v>
      </c>
    </row>
    <row r="455" spans="1:7">
      <c r="A455" s="3" t="s">
        <v>19</v>
      </c>
      <c r="B455">
        <v>15.742083844914381</v>
      </c>
    </row>
    <row r="456" spans="1:7">
      <c r="A456" t="s">
        <v>20</v>
      </c>
      <c r="B456">
        <v>674.97644403669335</v>
      </c>
    </row>
    <row r="457" spans="1:7">
      <c r="A457" s="1" t="s">
        <v>23</v>
      </c>
      <c r="B457">
        <v>25.980308774852798</v>
      </c>
    </row>
    <row r="458" spans="1:7">
      <c r="A458" s="1" t="s">
        <v>24</v>
      </c>
      <c r="B458">
        <v>14.99973826479086</v>
      </c>
    </row>
    <row r="459" spans="1:7">
      <c r="A459" t="s">
        <v>21</v>
      </c>
      <c r="B459">
        <v>1.0494905689031948</v>
      </c>
    </row>
    <row r="460" spans="1:7">
      <c r="A460" s="3" t="s">
        <v>22</v>
      </c>
      <c r="B460">
        <f>TDIST(ABS(B459),2,1)</f>
        <v>0.2020334442014925</v>
      </c>
    </row>
    <row r="462" spans="1:7">
      <c r="A462" s="2" t="s">
        <v>1760</v>
      </c>
    </row>
    <row r="463" spans="1:7">
      <c r="A463" s="4" t="s">
        <v>7</v>
      </c>
      <c r="B463" s="3" t="s">
        <v>8</v>
      </c>
      <c r="C463" s="3" t="s">
        <v>9</v>
      </c>
      <c r="D463" s="3" t="s">
        <v>10</v>
      </c>
      <c r="E463" s="3" t="s">
        <v>11</v>
      </c>
      <c r="F463" s="3" t="s">
        <v>12</v>
      </c>
      <c r="G463" s="3" t="s">
        <v>13</v>
      </c>
    </row>
    <row r="464" spans="1:7">
      <c r="A464" s="1" t="s">
        <v>277</v>
      </c>
      <c r="B464">
        <v>349.96857322438717</v>
      </c>
      <c r="C464">
        <v>316.46364435514249</v>
      </c>
      <c r="D464">
        <v>312.57752418754654</v>
      </c>
    </row>
    <row r="465" spans="1:4">
      <c r="A465" t="s">
        <v>280</v>
      </c>
      <c r="B465">
        <v>394.69749825575599</v>
      </c>
      <c r="C465">
        <v>326.50945840891427</v>
      </c>
      <c r="D465">
        <v>320.77393075356412</v>
      </c>
    </row>
    <row r="466" spans="1:4">
      <c r="A466" t="s">
        <v>281</v>
      </c>
      <c r="B466">
        <v>366.94488307391532</v>
      </c>
      <c r="C466">
        <v>352.46603842858894</v>
      </c>
      <c r="D466">
        <v>360.13505064399146</v>
      </c>
    </row>
    <row r="468" spans="1:4">
      <c r="A468" s="3" t="s">
        <v>18</v>
      </c>
      <c r="B468">
        <v>3</v>
      </c>
    </row>
    <row r="469" spans="1:4">
      <c r="A469" s="4" t="s">
        <v>191</v>
      </c>
      <c r="B469">
        <v>2</v>
      </c>
    </row>
    <row r="470" spans="1:4">
      <c r="A470" s="4" t="s">
        <v>192</v>
      </c>
      <c r="B470">
        <v>1</v>
      </c>
    </row>
    <row r="471" spans="1:4">
      <c r="A471" s="6" t="s">
        <v>193</v>
      </c>
      <c r="B471">
        <v>66.666666666666671</v>
      </c>
    </row>
    <row r="473" spans="1:4">
      <c r="A473" s="3" t="s">
        <v>19</v>
      </c>
      <c r="B473">
        <v>0.65087853584786137</v>
      </c>
    </row>
    <row r="474" spans="1:4">
      <c r="A474" t="s">
        <v>20</v>
      </c>
      <c r="B474">
        <v>52.770513598496521</v>
      </c>
    </row>
    <row r="475" spans="1:4">
      <c r="A475" s="1" t="s">
        <v>23</v>
      </c>
      <c r="B475">
        <v>7.2643316002572815</v>
      </c>
    </row>
    <row r="476" spans="1:4">
      <c r="A476" s="1" t="s">
        <v>24</v>
      </c>
      <c r="B476">
        <v>4.1940638048912469</v>
      </c>
    </row>
    <row r="477" spans="1:4">
      <c r="A477" s="1" t="s">
        <v>21</v>
      </c>
      <c r="B477">
        <v>0.15519042297086341</v>
      </c>
    </row>
    <row r="478" spans="1:4">
      <c r="A478" s="4" t="s">
        <v>22</v>
      </c>
      <c r="B478">
        <f>TDIST(ABS(B477),2,1)</f>
        <v>0.44545930749017693</v>
      </c>
    </row>
    <row r="480" spans="1:4">
      <c r="A480" s="2" t="s">
        <v>1761</v>
      </c>
    </row>
    <row r="481" spans="1:7">
      <c r="A481" s="3" t="s">
        <v>7</v>
      </c>
      <c r="B481" s="3" t="s">
        <v>8</v>
      </c>
      <c r="C481" s="3" t="s">
        <v>9</v>
      </c>
      <c r="D481" s="3" t="s">
        <v>10</v>
      </c>
      <c r="E481" s="3" t="s">
        <v>11</v>
      </c>
      <c r="F481" s="3" t="s">
        <v>12</v>
      </c>
      <c r="G481" s="3" t="s">
        <v>13</v>
      </c>
    </row>
    <row r="482" spans="1:7">
      <c r="A482" t="s">
        <v>299</v>
      </c>
      <c r="B482">
        <v>361.14012833905383</v>
      </c>
      <c r="C482">
        <v>325.60434139121855</v>
      </c>
      <c r="D482">
        <v>306.23963251244101</v>
      </c>
    </row>
    <row r="483" spans="1:7">
      <c r="A483" s="1"/>
    </row>
    <row r="484" spans="1:7">
      <c r="A484" s="4" t="s">
        <v>18</v>
      </c>
      <c r="B484">
        <v>1</v>
      </c>
    </row>
    <row r="485" spans="1:7">
      <c r="A485" s="4" t="s">
        <v>191</v>
      </c>
      <c r="B485">
        <v>1</v>
      </c>
    </row>
    <row r="486" spans="1:7">
      <c r="A486" s="3" t="s">
        <v>192</v>
      </c>
      <c r="B486">
        <v>0</v>
      </c>
    </row>
    <row r="487" spans="1:7">
      <c r="A487" s="6" t="s">
        <v>193</v>
      </c>
      <c r="B487">
        <v>100</v>
      </c>
    </row>
    <row r="489" spans="1:7">
      <c r="A489" s="3" t="s">
        <v>19</v>
      </c>
      <c r="B489">
        <v>19.364708878777549</v>
      </c>
    </row>
    <row r="490" spans="1:7">
      <c r="A490" s="1" t="s">
        <v>41</v>
      </c>
    </row>
    <row r="491" spans="1:7">
      <c r="A491" s="1"/>
    </row>
    <row r="492" spans="1:7">
      <c r="A492" s="5" t="s">
        <v>1784</v>
      </c>
    </row>
    <row r="493" spans="1:7">
      <c r="A493" s="4" t="s">
        <v>7</v>
      </c>
      <c r="B493" s="3" t="s">
        <v>8</v>
      </c>
      <c r="C493" s="3" t="s">
        <v>9</v>
      </c>
      <c r="D493" s="3" t="s">
        <v>10</v>
      </c>
      <c r="E493" s="3" t="s">
        <v>11</v>
      </c>
      <c r="F493" s="3" t="s">
        <v>12</v>
      </c>
      <c r="G493" s="3" t="s">
        <v>13</v>
      </c>
    </row>
    <row r="494" spans="1:7">
      <c r="A494" t="s">
        <v>396</v>
      </c>
      <c r="B494" t="e">
        <f>NA()</f>
        <v>#N/A</v>
      </c>
      <c r="C494">
        <v>371.19524870081665</v>
      </c>
      <c r="D494">
        <v>363.19612590799034</v>
      </c>
      <c r="E494" t="s">
        <v>14</v>
      </c>
    </row>
    <row r="495" spans="1:7">
      <c r="A495" t="s">
        <v>398</v>
      </c>
      <c r="B495">
        <v>368.59454599940068</v>
      </c>
      <c r="C495">
        <v>361.40224069389228</v>
      </c>
      <c r="D495">
        <v>352.50917992656059</v>
      </c>
    </row>
    <row r="496" spans="1:7">
      <c r="A496" t="s">
        <v>400</v>
      </c>
      <c r="B496">
        <v>342.94353471203311</v>
      </c>
      <c r="C496">
        <v>340.61458718992964</v>
      </c>
      <c r="D496">
        <v>326.61140665594456</v>
      </c>
    </row>
    <row r="497" spans="1:7">
      <c r="A497" t="s">
        <v>401</v>
      </c>
      <c r="B497">
        <v>343.24089043651287</v>
      </c>
      <c r="C497">
        <v>323.29169728141073</v>
      </c>
      <c r="D497">
        <v>328.27654812235761</v>
      </c>
    </row>
    <row r="498" spans="1:7">
      <c r="A498" s="1" t="s">
        <v>404</v>
      </c>
      <c r="B498">
        <v>351.67697818300229</v>
      </c>
      <c r="C498">
        <v>415.37940620725971</v>
      </c>
      <c r="D498">
        <v>331.78333542792512</v>
      </c>
    </row>
    <row r="499" spans="1:7">
      <c r="A499" s="1" t="s">
        <v>405</v>
      </c>
      <c r="B499">
        <v>358.98586493156836</v>
      </c>
      <c r="C499">
        <v>338.50493653032436</v>
      </c>
      <c r="D499">
        <v>341.4573796857602</v>
      </c>
    </row>
    <row r="500" spans="1:7">
      <c r="A500" s="1" t="s">
        <v>408</v>
      </c>
      <c r="B500">
        <v>351.4210714992771</v>
      </c>
      <c r="C500">
        <v>338.7220939183988</v>
      </c>
      <c r="D500">
        <v>332.66129032258061</v>
      </c>
    </row>
    <row r="501" spans="1:7">
      <c r="A501" s="1" t="s">
        <v>409</v>
      </c>
      <c r="B501">
        <v>353.01156761069007</v>
      </c>
      <c r="C501">
        <v>332.49370277078089</v>
      </c>
      <c r="D501">
        <v>349.05779688883268</v>
      </c>
    </row>
    <row r="502" spans="1:7">
      <c r="A502" t="s">
        <v>412</v>
      </c>
      <c r="B502">
        <v>329.29391903923135</v>
      </c>
      <c r="C502">
        <v>343.88238225766258</v>
      </c>
      <c r="D502">
        <v>320.62181199902841</v>
      </c>
    </row>
    <row r="503" spans="1:7">
      <c r="A503" t="s">
        <v>414</v>
      </c>
      <c r="B503">
        <v>336.12612165980863</v>
      </c>
      <c r="C503">
        <v>298.87920298879203</v>
      </c>
      <c r="D503">
        <v>296.37332640062391</v>
      </c>
    </row>
    <row r="504" spans="1:7">
      <c r="A504" t="s">
        <v>416</v>
      </c>
      <c r="B504">
        <v>363.1869656233448</v>
      </c>
      <c r="C504">
        <v>333.45964380447134</v>
      </c>
      <c r="D504">
        <v>319.8781416603199</v>
      </c>
    </row>
    <row r="505" spans="1:7">
      <c r="A505" t="s">
        <v>417</v>
      </c>
      <c r="B505">
        <v>386.30877232073573</v>
      </c>
      <c r="C505">
        <v>340.23668639053255</v>
      </c>
      <c r="D505">
        <v>321.79424670892246</v>
      </c>
    </row>
    <row r="506" spans="1:7">
      <c r="A506" s="1" t="s">
        <v>420</v>
      </c>
      <c r="B506" t="e">
        <f>NA()</f>
        <v>#N/A</v>
      </c>
      <c r="C506">
        <v>333.08099924299773</v>
      </c>
      <c r="D506">
        <v>331.90847372391249</v>
      </c>
      <c r="E506" t="s">
        <v>14</v>
      </c>
    </row>
    <row r="507" spans="1:7">
      <c r="A507" s="1" t="s">
        <v>422</v>
      </c>
      <c r="B507">
        <v>420.77844011421132</v>
      </c>
      <c r="C507">
        <v>358.11987067893557</v>
      </c>
      <c r="D507">
        <v>346.3855421686747</v>
      </c>
    </row>
    <row r="508" spans="1:7">
      <c r="A508" s="1" t="s">
        <v>424</v>
      </c>
      <c r="B508">
        <v>367.61712368873509</v>
      </c>
      <c r="C508">
        <v>343.11287916459474</v>
      </c>
      <c r="D508">
        <v>333.67037411526798</v>
      </c>
    </row>
    <row r="509" spans="1:7">
      <c r="A509" s="1" t="s">
        <v>426</v>
      </c>
      <c r="B509" t="e">
        <f>NA()</f>
        <v>#N/A</v>
      </c>
      <c r="C509" t="e">
        <f>NA()</f>
        <v>#N/A</v>
      </c>
      <c r="D509" t="e">
        <f>NA()</f>
        <v>#N/A</v>
      </c>
      <c r="E509" t="s">
        <v>49</v>
      </c>
      <c r="F509" t="s">
        <v>17</v>
      </c>
      <c r="G509" t="s">
        <v>46</v>
      </c>
    </row>
    <row r="510" spans="1:7">
      <c r="A510" t="s">
        <v>428</v>
      </c>
      <c r="B510">
        <v>343.77041765090212</v>
      </c>
      <c r="C510">
        <v>361.67273640587717</v>
      </c>
      <c r="D510">
        <v>333.44425224610802</v>
      </c>
    </row>
    <row r="511" spans="1:7">
      <c r="A511" t="s">
        <v>430</v>
      </c>
      <c r="B511" t="e">
        <f>NA()</f>
        <v>#N/A</v>
      </c>
      <c r="C511">
        <v>324.31987320111051</v>
      </c>
      <c r="D511">
        <v>306.15964038391451</v>
      </c>
      <c r="E511" t="s">
        <v>56</v>
      </c>
    </row>
    <row r="512" spans="1:7">
      <c r="A512" t="s">
        <v>432</v>
      </c>
      <c r="B512">
        <v>314.82684523512069</v>
      </c>
      <c r="C512">
        <v>319.02772502848467</v>
      </c>
      <c r="D512">
        <v>300.71419621601302</v>
      </c>
    </row>
    <row r="513" spans="1:5">
      <c r="A513" t="s">
        <v>434</v>
      </c>
      <c r="B513">
        <v>345.00862521563039</v>
      </c>
      <c r="C513">
        <v>319.1103589991539</v>
      </c>
      <c r="D513">
        <v>346.99522252954489</v>
      </c>
    </row>
    <row r="514" spans="1:5">
      <c r="A514" s="1" t="s">
        <v>436</v>
      </c>
      <c r="B514">
        <v>349.54937011402677</v>
      </c>
      <c r="C514">
        <v>340.90909090909093</v>
      </c>
      <c r="D514">
        <v>323.20123124278564</v>
      </c>
    </row>
    <row r="515" spans="1:5">
      <c r="A515" s="1" t="s">
        <v>439</v>
      </c>
      <c r="B515">
        <v>345.83850931677023</v>
      </c>
      <c r="C515">
        <v>340.48852701702441</v>
      </c>
      <c r="D515">
        <v>327.58406750217148</v>
      </c>
    </row>
    <row r="516" spans="1:5">
      <c r="A516" s="1" t="s">
        <v>440</v>
      </c>
      <c r="B516">
        <v>325.94881507139479</v>
      </c>
      <c r="C516">
        <v>316.9014084507042</v>
      </c>
      <c r="D516">
        <v>300.60120240480961</v>
      </c>
    </row>
    <row r="517" spans="1:5">
      <c r="A517" s="1" t="s">
        <v>441</v>
      </c>
      <c r="B517">
        <v>349.23635640017909</v>
      </c>
      <c r="C517">
        <v>316.42390758412859</v>
      </c>
      <c r="D517">
        <v>304.56852791878174</v>
      </c>
    </row>
    <row r="518" spans="1:5">
      <c r="A518" t="s">
        <v>444</v>
      </c>
      <c r="B518" t="e">
        <f>NA()</f>
        <v>#N/A</v>
      </c>
      <c r="C518">
        <v>305.57677616501149</v>
      </c>
      <c r="D518">
        <v>309.84876429361856</v>
      </c>
      <c r="E518" t="s">
        <v>14</v>
      </c>
    </row>
    <row r="519" spans="1:5">
      <c r="A519" t="s">
        <v>446</v>
      </c>
      <c r="B519">
        <v>371.73978215249326</v>
      </c>
      <c r="C519">
        <v>351.60542058356731</v>
      </c>
      <c r="D519">
        <v>365.48223350253807</v>
      </c>
    </row>
    <row r="520" spans="1:5">
      <c r="A520" t="s">
        <v>448</v>
      </c>
      <c r="B520">
        <v>357.50050070098138</v>
      </c>
      <c r="C520">
        <v>360.40545613815544</v>
      </c>
      <c r="D520">
        <v>345.82132564841498</v>
      </c>
    </row>
    <row r="521" spans="1:5">
      <c r="A521" t="s">
        <v>450</v>
      </c>
      <c r="B521">
        <v>360.83895056005213</v>
      </c>
      <c r="C521">
        <v>333.16506814740029</v>
      </c>
      <c r="D521">
        <v>335.74971384967569</v>
      </c>
    </row>
    <row r="522" spans="1:5">
      <c r="A522" s="1" t="s">
        <v>452</v>
      </c>
      <c r="B522">
        <v>355.58234141931598</v>
      </c>
      <c r="C522">
        <v>333.24917950012622</v>
      </c>
      <c r="D522">
        <v>358.11987067893557</v>
      </c>
    </row>
    <row r="523" spans="1:5">
      <c r="A523" s="1" t="s">
        <v>455</v>
      </c>
      <c r="B523">
        <v>330.56336136185365</v>
      </c>
      <c r="C523">
        <v>318.38281743524954</v>
      </c>
      <c r="D523">
        <v>305.08474576271186</v>
      </c>
    </row>
    <row r="524" spans="1:5">
      <c r="A524" t="s">
        <v>456</v>
      </c>
      <c r="B524">
        <v>361.96365281652965</v>
      </c>
      <c r="C524">
        <v>319.49655088950749</v>
      </c>
      <c r="D524">
        <v>313.51082358795719</v>
      </c>
    </row>
    <row r="525" spans="1:5">
      <c r="A525" t="s">
        <v>458</v>
      </c>
      <c r="B525">
        <v>341.91482387352175</v>
      </c>
      <c r="C525">
        <v>321.83347555772281</v>
      </c>
      <c r="D525">
        <v>300.8955223880597</v>
      </c>
    </row>
    <row r="526" spans="1:5">
      <c r="A526" t="s">
        <v>460</v>
      </c>
      <c r="B526">
        <v>314.81111333200079</v>
      </c>
      <c r="C526">
        <v>315.31531531531527</v>
      </c>
      <c r="D526">
        <v>327.61310452418093</v>
      </c>
    </row>
    <row r="527" spans="1:5">
      <c r="A527" t="s">
        <v>461</v>
      </c>
      <c r="B527">
        <v>367.13812819741202</v>
      </c>
      <c r="C527">
        <v>326.61140665594456</v>
      </c>
      <c r="D527">
        <v>309.1645196908355</v>
      </c>
    </row>
    <row r="528" spans="1:5">
      <c r="A528" s="1" t="s">
        <v>464</v>
      </c>
      <c r="B528">
        <v>313.19326634477363</v>
      </c>
      <c r="C528">
        <v>334.50490849593984</v>
      </c>
      <c r="D528">
        <v>326.28846866889137</v>
      </c>
    </row>
    <row r="529" spans="1:5">
      <c r="A529" s="1" t="s">
        <v>467</v>
      </c>
      <c r="B529">
        <v>342.87418008348243</v>
      </c>
      <c r="C529">
        <v>326.57100445324096</v>
      </c>
      <c r="D529">
        <v>321.20695948412214</v>
      </c>
    </row>
    <row r="530" spans="1:5">
      <c r="A530" t="s">
        <v>468</v>
      </c>
      <c r="B530" t="e">
        <f>NA()</f>
        <v>#N/A</v>
      </c>
      <c r="C530">
        <v>325.8454702542582</v>
      </c>
      <c r="D530">
        <v>329.75268548588559</v>
      </c>
      <c r="E530" t="s">
        <v>14</v>
      </c>
    </row>
    <row r="531" spans="1:5">
      <c r="A531" t="s">
        <v>470</v>
      </c>
      <c r="B531">
        <v>353.81157283453524</v>
      </c>
      <c r="C531">
        <v>400.44493882091211</v>
      </c>
      <c r="D531">
        <v>342.64432029795154</v>
      </c>
    </row>
    <row r="532" spans="1:5">
      <c r="A532" t="s">
        <v>472</v>
      </c>
      <c r="B532">
        <v>377.65612401978728</v>
      </c>
      <c r="C532">
        <v>342.67912772585674</v>
      </c>
      <c r="D532">
        <v>327.95031055900625</v>
      </c>
    </row>
    <row r="533" spans="1:5">
      <c r="A533" t="s">
        <v>474</v>
      </c>
      <c r="B533">
        <v>354.69164871499424</v>
      </c>
      <c r="C533">
        <v>327.18774344326152</v>
      </c>
      <c r="D533">
        <v>313.16018391947313</v>
      </c>
    </row>
    <row r="534" spans="1:5">
      <c r="A534" s="1" t="s">
        <v>476</v>
      </c>
      <c r="B534">
        <v>323.44904507145145</v>
      </c>
      <c r="C534">
        <v>303.10684516291991</v>
      </c>
      <c r="D534">
        <v>308.89924000980631</v>
      </c>
    </row>
    <row r="535" spans="1:5">
      <c r="A535" s="1" t="s">
        <v>477</v>
      </c>
      <c r="B535">
        <v>319.7927822470175</v>
      </c>
      <c r="C535">
        <v>305.04781503449948</v>
      </c>
      <c r="D535">
        <v>319.5941661382372</v>
      </c>
    </row>
    <row r="536" spans="1:5">
      <c r="A536" t="s">
        <v>480</v>
      </c>
      <c r="B536">
        <v>365.3059187543667</v>
      </c>
      <c r="C536">
        <v>333.37542619017552</v>
      </c>
      <c r="D536">
        <v>350.79171741778316</v>
      </c>
    </row>
    <row r="537" spans="1:5">
      <c r="A537" t="s">
        <v>481</v>
      </c>
      <c r="B537">
        <v>357.38418800210223</v>
      </c>
      <c r="C537">
        <v>340.61458718992964</v>
      </c>
      <c r="D537">
        <v>331.28372443217467</v>
      </c>
    </row>
    <row r="538" spans="1:5">
      <c r="A538" t="s">
        <v>484</v>
      </c>
      <c r="B538">
        <v>372.50287888649677</v>
      </c>
      <c r="C538">
        <v>327.90957645013043</v>
      </c>
      <c r="D538">
        <v>326.17136940201914</v>
      </c>
    </row>
    <row r="539" spans="1:5">
      <c r="A539" t="s">
        <v>485</v>
      </c>
      <c r="B539">
        <v>311.60270654914984</v>
      </c>
      <c r="C539">
        <v>334.34650455927056</v>
      </c>
      <c r="D539">
        <v>312.81032770605759</v>
      </c>
    </row>
    <row r="540" spans="1:5">
      <c r="A540" s="1" t="s">
        <v>488</v>
      </c>
      <c r="B540">
        <v>355.94722975469472</v>
      </c>
      <c r="C540">
        <v>302.6863412788498</v>
      </c>
      <c r="D540">
        <v>298.87920298879203</v>
      </c>
    </row>
    <row r="541" spans="1:5">
      <c r="A541" t="s">
        <v>491</v>
      </c>
      <c r="B541">
        <v>355.74599536633366</v>
      </c>
      <c r="C541">
        <v>308.93897189161811</v>
      </c>
      <c r="D541">
        <v>298.21073558648112</v>
      </c>
    </row>
    <row r="542" spans="1:5">
      <c r="A542" t="s">
        <v>492</v>
      </c>
      <c r="B542" t="e">
        <f>NA()</f>
        <v>#N/A</v>
      </c>
      <c r="C542">
        <v>356.39153570102712</v>
      </c>
      <c r="D542">
        <v>328.07257362992419</v>
      </c>
      <c r="E542" t="s">
        <v>14</v>
      </c>
    </row>
    <row r="543" spans="1:5">
      <c r="A543" t="s">
        <v>495</v>
      </c>
      <c r="B543">
        <v>348.20586724144414</v>
      </c>
      <c r="C543">
        <v>338.69186403239661</v>
      </c>
      <c r="D543">
        <v>316.8217249182801</v>
      </c>
    </row>
    <row r="544" spans="1:5">
      <c r="A544" t="s">
        <v>496</v>
      </c>
      <c r="B544">
        <v>365.94510823376498</v>
      </c>
      <c r="C544">
        <v>347.82608695652169</v>
      </c>
      <c r="D544">
        <v>326.61140665594456</v>
      </c>
    </row>
    <row r="545" spans="1:7">
      <c r="A545" s="1" t="s">
        <v>498</v>
      </c>
      <c r="B545">
        <v>351.96791175733262</v>
      </c>
      <c r="C545">
        <v>323.86582701452255</v>
      </c>
      <c r="D545">
        <v>319.47261663286002</v>
      </c>
    </row>
    <row r="546" spans="1:7">
      <c r="A546" t="s">
        <v>500</v>
      </c>
      <c r="B546">
        <v>371.32233673545778</v>
      </c>
      <c r="C546">
        <v>325.28720795146512</v>
      </c>
      <c r="D546">
        <v>332.93717690941986</v>
      </c>
    </row>
    <row r="547" spans="1:7">
      <c r="A547" t="s">
        <v>503</v>
      </c>
      <c r="B547">
        <v>390.88927309629406</v>
      </c>
      <c r="C547">
        <v>337.69533904063053</v>
      </c>
      <c r="D547">
        <v>330.66132264529057</v>
      </c>
    </row>
    <row r="548" spans="1:7">
      <c r="A548" t="s">
        <v>504</v>
      </c>
      <c r="B548">
        <v>369.21063212438838</v>
      </c>
      <c r="C548">
        <v>341.16192830655132</v>
      </c>
      <c r="D548">
        <v>348.30893488137303</v>
      </c>
    </row>
    <row r="549" spans="1:7">
      <c r="A549" t="s">
        <v>505</v>
      </c>
      <c r="B549">
        <v>374.97187710921685</v>
      </c>
      <c r="C549">
        <v>319.14893617021278</v>
      </c>
      <c r="D549">
        <v>342.3266938183038</v>
      </c>
    </row>
    <row r="550" spans="1:7">
      <c r="A550" s="1" t="s">
        <v>508</v>
      </c>
      <c r="B550">
        <v>388.63559041559722</v>
      </c>
      <c r="C550">
        <v>351.98582376899611</v>
      </c>
      <c r="D550">
        <v>351.71862509992008</v>
      </c>
    </row>
    <row r="551" spans="1:7">
      <c r="A551" s="1" t="s">
        <v>510</v>
      </c>
      <c r="B551">
        <v>415.21853189371626</v>
      </c>
      <c r="C551">
        <v>361.5328994938539</v>
      </c>
      <c r="D551">
        <v>327.060350421804</v>
      </c>
    </row>
    <row r="552" spans="1:7">
      <c r="A552" t="s">
        <v>512</v>
      </c>
      <c r="B552" t="e">
        <f>NA()</f>
        <v>#N/A</v>
      </c>
      <c r="C552">
        <v>337.81190019193855</v>
      </c>
      <c r="D552">
        <v>331.73076923076923</v>
      </c>
      <c r="E552" t="s">
        <v>40</v>
      </c>
    </row>
    <row r="553" spans="1:7">
      <c r="A553" t="s">
        <v>513</v>
      </c>
      <c r="B553">
        <v>359.13337564165386</v>
      </c>
      <c r="C553">
        <v>339.77594484796259</v>
      </c>
      <c r="D553">
        <v>347.16981132075472</v>
      </c>
    </row>
    <row r="554" spans="1:7">
      <c r="A554" t="s">
        <v>516</v>
      </c>
      <c r="B554" t="e">
        <f>NA()</f>
        <v>#N/A</v>
      </c>
      <c r="C554">
        <v>347.43202416918433</v>
      </c>
      <c r="D554">
        <v>343.92523364485982</v>
      </c>
      <c r="E554" t="s">
        <v>14</v>
      </c>
    </row>
    <row r="555" spans="1:7">
      <c r="A555" t="s">
        <v>518</v>
      </c>
      <c r="B555" t="e">
        <f>NA()</f>
        <v>#N/A</v>
      </c>
      <c r="C555">
        <v>337.36707004033735</v>
      </c>
      <c r="D555">
        <v>333.25283747886982</v>
      </c>
      <c r="E555" t="s">
        <v>57</v>
      </c>
    </row>
    <row r="556" spans="1:7">
      <c r="A556" s="1" t="s">
        <v>520</v>
      </c>
      <c r="B556" t="e">
        <f>NA()</f>
        <v>#N/A</v>
      </c>
      <c r="C556">
        <v>330.78561583761433</v>
      </c>
      <c r="D556">
        <v>326.89450222882618</v>
      </c>
      <c r="E556" t="s">
        <v>15</v>
      </c>
    </row>
    <row r="557" spans="1:7">
      <c r="A557" s="1" t="s">
        <v>523</v>
      </c>
      <c r="B557">
        <v>326.30840425899692</v>
      </c>
      <c r="C557">
        <v>315.9478435305918</v>
      </c>
      <c r="D557">
        <v>320.65148237689272</v>
      </c>
    </row>
    <row r="558" spans="1:7">
      <c r="A558" t="s">
        <v>524</v>
      </c>
      <c r="B558">
        <v>327.53223988982097</v>
      </c>
      <c r="C558">
        <v>341.37291280148423</v>
      </c>
      <c r="D558">
        <v>344.52627636999125</v>
      </c>
    </row>
    <row r="559" spans="1:7">
      <c r="A559" t="s">
        <v>527</v>
      </c>
      <c r="B559" t="e">
        <f>NA()</f>
        <v>#N/A</v>
      </c>
      <c r="C559">
        <v>341.79566563467495</v>
      </c>
      <c r="D559">
        <v>322.33307751343057</v>
      </c>
      <c r="E559" t="s">
        <v>47</v>
      </c>
    </row>
    <row r="560" spans="1:7">
      <c r="A560" t="s">
        <v>528</v>
      </c>
      <c r="B560">
        <v>330.09902970891267</v>
      </c>
      <c r="C560" t="e">
        <f>NA()</f>
        <v>#N/A</v>
      </c>
      <c r="D560" t="e">
        <f>NA()</f>
        <v>#N/A</v>
      </c>
      <c r="F560" t="s">
        <v>58</v>
      </c>
      <c r="G560" t="s">
        <v>49</v>
      </c>
    </row>
    <row r="561" spans="1:6">
      <c r="A561" t="s">
        <v>530</v>
      </c>
      <c r="B561">
        <v>348.79350522438546</v>
      </c>
      <c r="C561">
        <v>335.74971384967569</v>
      </c>
      <c r="D561">
        <v>352.33667726939075</v>
      </c>
    </row>
    <row r="562" spans="1:6">
      <c r="A562" s="1" t="s">
        <v>532</v>
      </c>
      <c r="B562">
        <v>331.96970614266485</v>
      </c>
      <c r="C562">
        <v>354.8108907231736</v>
      </c>
      <c r="D562">
        <v>336.0488798370672</v>
      </c>
    </row>
    <row r="563" spans="1:6">
      <c r="A563" s="1" t="s">
        <v>535</v>
      </c>
      <c r="B563">
        <v>329.49296375069258</v>
      </c>
      <c r="C563">
        <v>339.10032615186731</v>
      </c>
      <c r="D563">
        <v>333.41386808407833</v>
      </c>
    </row>
    <row r="564" spans="1:6">
      <c r="A564" s="1" t="s">
        <v>536</v>
      </c>
      <c r="B564">
        <v>376.50339898901865</v>
      </c>
      <c r="C564">
        <v>336.73469387755108</v>
      </c>
      <c r="D564">
        <v>336.1344537815126</v>
      </c>
    </row>
    <row r="565" spans="1:6">
      <c r="A565" s="1" t="s">
        <v>537</v>
      </c>
      <c r="B565">
        <v>363.14228809935946</v>
      </c>
      <c r="C565">
        <v>333.58605003790751</v>
      </c>
      <c r="D565">
        <v>330.61991233562929</v>
      </c>
    </row>
    <row r="566" spans="1:6">
      <c r="A566" s="1" t="s">
        <v>540</v>
      </c>
      <c r="B566" t="e">
        <f>NA()</f>
        <v>#N/A</v>
      </c>
      <c r="C566">
        <v>336.95519472591866</v>
      </c>
      <c r="D566">
        <v>332.28445563247328</v>
      </c>
      <c r="E566" t="s">
        <v>14</v>
      </c>
    </row>
    <row r="567" spans="1:6">
      <c r="A567" s="1" t="s">
        <v>542</v>
      </c>
      <c r="B567">
        <v>344.39234846602676</v>
      </c>
      <c r="C567">
        <v>324.60346735521949</v>
      </c>
      <c r="D567">
        <v>322.77784570240863</v>
      </c>
    </row>
    <row r="568" spans="1:6">
      <c r="A568" s="1" t="s">
        <v>544</v>
      </c>
      <c r="B568">
        <v>327.89350981424377</v>
      </c>
      <c r="C568">
        <v>328.11334824757643</v>
      </c>
      <c r="D568">
        <v>322.91132752434652</v>
      </c>
    </row>
    <row r="569" spans="1:6">
      <c r="A569" s="1" t="s">
        <v>547</v>
      </c>
      <c r="B569" t="e">
        <f>NA()</f>
        <v>#N/A</v>
      </c>
      <c r="C569" t="e">
        <f>NA()</f>
        <v>#N/A</v>
      </c>
      <c r="D569">
        <v>310.79607415485282</v>
      </c>
      <c r="E569" t="s">
        <v>46</v>
      </c>
      <c r="F569" t="s">
        <v>49</v>
      </c>
    </row>
    <row r="570" spans="1:6">
      <c r="A570" s="1" t="s">
        <v>548</v>
      </c>
      <c r="B570">
        <v>313.91488077271356</v>
      </c>
      <c r="C570">
        <v>308.92006693268115</v>
      </c>
      <c r="D570">
        <v>306.47426893117097</v>
      </c>
    </row>
    <row r="571" spans="1:6">
      <c r="A571" s="1" t="s">
        <v>549</v>
      </c>
      <c r="B571">
        <v>347.56074757744085</v>
      </c>
      <c r="C571">
        <v>312.77150304083403</v>
      </c>
      <c r="D571">
        <v>312.30635766513814</v>
      </c>
    </row>
    <row r="572" spans="1:6">
      <c r="A572" s="1" t="s">
        <v>552</v>
      </c>
      <c r="B572">
        <v>328.44808280872877</v>
      </c>
      <c r="C572" t="e">
        <f>NA()</f>
        <v>#N/A</v>
      </c>
      <c r="D572">
        <v>325.24522457408364</v>
      </c>
      <c r="F572" t="s">
        <v>29</v>
      </c>
    </row>
    <row r="573" spans="1:6">
      <c r="A573" s="1" t="s">
        <v>553</v>
      </c>
      <c r="B573">
        <v>362.13991769547323</v>
      </c>
      <c r="C573">
        <v>316.9014084507042</v>
      </c>
      <c r="D573">
        <v>306.01092896174862</v>
      </c>
    </row>
    <row r="574" spans="1:6">
      <c r="A574" s="1" t="s">
        <v>556</v>
      </c>
      <c r="B574">
        <v>312.44523445910426</v>
      </c>
      <c r="C574">
        <v>406.4734663153933</v>
      </c>
      <c r="D574">
        <v>342.68686367022593</v>
      </c>
    </row>
    <row r="575" spans="1:6">
      <c r="A575" s="1" t="s">
        <v>558</v>
      </c>
      <c r="B575" t="e">
        <f>NA()</f>
        <v>#N/A</v>
      </c>
      <c r="C575">
        <v>325.70763861962001</v>
      </c>
      <c r="D575">
        <v>313.35488684406863</v>
      </c>
      <c r="E575" t="s">
        <v>29</v>
      </c>
    </row>
    <row r="576" spans="1:6">
      <c r="A576" s="1" t="s">
        <v>560</v>
      </c>
      <c r="B576">
        <v>320.09975555327452</v>
      </c>
      <c r="C576">
        <v>317.62036803629945</v>
      </c>
      <c r="D576">
        <v>305.78813250819076</v>
      </c>
    </row>
    <row r="577" spans="1:5">
      <c r="A577" s="1" t="s">
        <v>561</v>
      </c>
      <c r="B577">
        <v>371.95350581177354</v>
      </c>
      <c r="C577">
        <v>325.16319743810811</v>
      </c>
      <c r="D577">
        <v>297.84065524944157</v>
      </c>
    </row>
    <row r="578" spans="1:5">
      <c r="A578" s="1" t="s">
        <v>564</v>
      </c>
      <c r="B578" t="e">
        <f>NA()</f>
        <v>#N/A</v>
      </c>
      <c r="C578">
        <v>382.0682628629649</v>
      </c>
      <c r="D578">
        <v>335.56231003039511</v>
      </c>
      <c r="E578" t="s">
        <v>14</v>
      </c>
    </row>
    <row r="579" spans="1:5">
      <c r="A579" s="1" t="s">
        <v>567</v>
      </c>
      <c r="B579">
        <v>334.85305239835105</v>
      </c>
      <c r="C579">
        <v>326.93498452012386</v>
      </c>
      <c r="D579">
        <v>318.50353892821033</v>
      </c>
    </row>
    <row r="580" spans="1:5">
      <c r="A580" s="1" t="s">
        <v>568</v>
      </c>
      <c r="B580" t="e">
        <f>NA()</f>
        <v>#N/A</v>
      </c>
      <c r="C580">
        <v>355.68729158947764</v>
      </c>
      <c r="D580">
        <v>332.82904689863841</v>
      </c>
      <c r="E580" t="s">
        <v>17</v>
      </c>
    </row>
    <row r="581" spans="1:5">
      <c r="A581" s="1" t="s">
        <v>571</v>
      </c>
      <c r="B581">
        <v>335.77010335265942</v>
      </c>
      <c r="C581">
        <v>315.0393799224903</v>
      </c>
      <c r="D581">
        <v>316.14602935641705</v>
      </c>
    </row>
    <row r="582" spans="1:5">
      <c r="A582" t="s">
        <v>572</v>
      </c>
      <c r="B582">
        <v>337.71667662881049</v>
      </c>
      <c r="C582">
        <v>319.47261663286002</v>
      </c>
      <c r="D582">
        <v>320.65148237689272</v>
      </c>
    </row>
    <row r="583" spans="1:5">
      <c r="A583" t="s">
        <v>573</v>
      </c>
      <c r="B583">
        <v>327.35190329604325</v>
      </c>
      <c r="C583">
        <v>300.71419621601302</v>
      </c>
      <c r="D583">
        <v>304.9555273189327</v>
      </c>
    </row>
    <row r="584" spans="1:5">
      <c r="A584" t="s">
        <v>576</v>
      </c>
      <c r="B584">
        <v>309.76877863134285</v>
      </c>
      <c r="C584">
        <v>285.24959339421991</v>
      </c>
      <c r="D584">
        <v>300.26272988865253</v>
      </c>
    </row>
    <row r="585" spans="1:5">
      <c r="A585" t="s">
        <v>578</v>
      </c>
      <c r="B585">
        <v>327.03270327032703</v>
      </c>
      <c r="C585">
        <v>304.18250950570342</v>
      </c>
      <c r="D585">
        <v>304.45813700616168</v>
      </c>
    </row>
    <row r="586" spans="1:5">
      <c r="A586" s="1" t="s">
        <v>580</v>
      </c>
      <c r="B586">
        <v>363.39973971368505</v>
      </c>
      <c r="C586">
        <v>353.98230088495575</v>
      </c>
      <c r="D586">
        <v>348.61690034103822</v>
      </c>
    </row>
    <row r="587" spans="1:5">
      <c r="A587" t="s">
        <v>581</v>
      </c>
      <c r="B587">
        <v>346.24648735447613</v>
      </c>
      <c r="C587">
        <v>317.74051191526917</v>
      </c>
      <c r="D587">
        <v>316.31919482386769</v>
      </c>
    </row>
    <row r="588" spans="1:5">
      <c r="A588" t="s">
        <v>584</v>
      </c>
      <c r="B588">
        <v>350.7835740858946</v>
      </c>
      <c r="C588">
        <v>344.22549264155651</v>
      </c>
      <c r="D588">
        <v>337.89837450403172</v>
      </c>
    </row>
    <row r="589" spans="1:5">
      <c r="A589" t="s">
        <v>585</v>
      </c>
      <c r="B589">
        <v>358.16333382639908</v>
      </c>
      <c r="C589">
        <v>309.24039759479689</v>
      </c>
      <c r="D589">
        <v>307.57400999615533</v>
      </c>
    </row>
    <row r="590" spans="1:5">
      <c r="A590" t="s">
        <v>588</v>
      </c>
      <c r="B590" t="e">
        <f>NA()</f>
        <v>#N/A</v>
      </c>
      <c r="C590">
        <v>317.30769230769232</v>
      </c>
      <c r="D590">
        <v>348.22104466313402</v>
      </c>
      <c r="E590" t="s">
        <v>14</v>
      </c>
    </row>
    <row r="591" spans="1:5">
      <c r="A591" s="1" t="s">
        <v>591</v>
      </c>
      <c r="B591">
        <v>351.52729093640465</v>
      </c>
      <c r="C591">
        <v>319.39163498098856</v>
      </c>
      <c r="D591">
        <v>318.82591093117406</v>
      </c>
    </row>
    <row r="592" spans="1:5">
      <c r="A592" s="1" t="s">
        <v>592</v>
      </c>
      <c r="B592">
        <v>336.29425747529086</v>
      </c>
      <c r="C592">
        <v>324.04566097950163</v>
      </c>
      <c r="D592">
        <v>323.29169728141073</v>
      </c>
    </row>
    <row r="593" spans="1:4">
      <c r="A593" t="s">
        <v>595</v>
      </c>
      <c r="B593">
        <v>343.92598551890586</v>
      </c>
      <c r="C593">
        <v>321.01167315175098</v>
      </c>
      <c r="D593">
        <v>315.74990602681368</v>
      </c>
    </row>
    <row r="594" spans="1:4">
      <c r="A594" t="s">
        <v>596</v>
      </c>
      <c r="B594">
        <v>377.15140932900971</v>
      </c>
      <c r="C594">
        <v>353.37423312883436</v>
      </c>
      <c r="D594">
        <v>341.11976269929551</v>
      </c>
    </row>
    <row r="595" spans="1:4">
      <c r="A595" t="s">
        <v>598</v>
      </c>
      <c r="B595">
        <v>339.59216267379554</v>
      </c>
      <c r="C595">
        <v>312.34506693108574</v>
      </c>
      <c r="D595">
        <v>294.37017048939043</v>
      </c>
    </row>
    <row r="596" spans="1:4">
      <c r="A596" t="s">
        <v>600</v>
      </c>
      <c r="B596">
        <v>302.40275455974449</v>
      </c>
      <c r="C596">
        <v>300.60120240480961</v>
      </c>
      <c r="D596">
        <v>294.18975239029169</v>
      </c>
    </row>
    <row r="597" spans="1:4">
      <c r="A597" s="1" t="s">
        <v>603</v>
      </c>
      <c r="B597">
        <v>347.39206388819571</v>
      </c>
      <c r="C597">
        <v>328.00452703987071</v>
      </c>
      <c r="D597">
        <v>303.05604257188179</v>
      </c>
    </row>
    <row r="598" spans="1:4">
      <c r="A598" t="s">
        <v>604</v>
      </c>
      <c r="B598">
        <v>354.03540354035403</v>
      </c>
      <c r="C598">
        <v>311.53418222277168</v>
      </c>
      <c r="D598">
        <v>307.39204684069284</v>
      </c>
    </row>
    <row r="599" spans="1:4">
      <c r="A599" t="s">
        <v>605</v>
      </c>
      <c r="B599">
        <v>311.4471812532754</v>
      </c>
      <c r="C599">
        <v>292.00819672131149</v>
      </c>
      <c r="D599">
        <v>293.68575624082234</v>
      </c>
    </row>
    <row r="600" spans="1:4">
      <c r="A600" t="s">
        <v>608</v>
      </c>
      <c r="B600">
        <v>322.16785848701545</v>
      </c>
      <c r="C600">
        <v>297.72786628362502</v>
      </c>
      <c r="D600">
        <v>302.26700251889167</v>
      </c>
    </row>
    <row r="601" spans="1:4">
      <c r="A601" t="s">
        <v>609</v>
      </c>
      <c r="B601">
        <v>316.00914240286198</v>
      </c>
      <c r="C601">
        <v>313.74501992031873</v>
      </c>
      <c r="D601">
        <v>298.43322556577965</v>
      </c>
    </row>
    <row r="602" spans="1:4">
      <c r="A602" s="1" t="s">
        <v>613</v>
      </c>
      <c r="B602">
        <v>370.66318629856147</v>
      </c>
      <c r="C602">
        <v>344.01876465989051</v>
      </c>
      <c r="D602">
        <v>338.65030674846628</v>
      </c>
    </row>
    <row r="603" spans="1:4">
      <c r="A603" t="s">
        <v>616</v>
      </c>
      <c r="B603">
        <v>327.2699977481422</v>
      </c>
      <c r="C603">
        <v>323.41051084160233</v>
      </c>
      <c r="D603">
        <v>315.0393799224903</v>
      </c>
    </row>
    <row r="605" spans="1:4">
      <c r="A605" s="3" t="s">
        <v>18</v>
      </c>
      <c r="B605">
        <v>106</v>
      </c>
    </row>
    <row r="606" spans="1:4">
      <c r="A606" s="3" t="s">
        <v>191</v>
      </c>
      <c r="B606">
        <v>78</v>
      </c>
    </row>
    <row r="607" spans="1:4">
      <c r="A607" s="4" t="s">
        <v>192</v>
      </c>
      <c r="B607">
        <v>28</v>
      </c>
    </row>
    <row r="608" spans="1:4">
      <c r="A608" s="6" t="s">
        <v>193</v>
      </c>
      <c r="B608">
        <v>73.584905660377359</v>
      </c>
    </row>
    <row r="610" spans="1:7">
      <c r="A610" s="3" t="s">
        <v>19</v>
      </c>
      <c r="B610">
        <v>7.3618857451456998</v>
      </c>
    </row>
    <row r="611" spans="1:7">
      <c r="A611" t="s">
        <v>20</v>
      </c>
      <c r="B611">
        <v>279.16747724556546</v>
      </c>
    </row>
    <row r="612" spans="1:7">
      <c r="A612" t="s">
        <v>23</v>
      </c>
      <c r="B612">
        <v>16.70830563658582</v>
      </c>
    </row>
    <row r="613" spans="1:7">
      <c r="A613" t="s">
        <v>24</v>
      </c>
      <c r="B613">
        <v>1.6228541048759995</v>
      </c>
    </row>
    <row r="614" spans="1:7">
      <c r="A614" s="1" t="s">
        <v>21</v>
      </c>
      <c r="B614">
        <v>4.5363817505383297</v>
      </c>
    </row>
    <row r="615" spans="1:7">
      <c r="A615" s="4" t="s">
        <v>22</v>
      </c>
      <c r="B615">
        <f>TDIST(ABS(B614),105,1)</f>
        <v>7.632281495294665E-6</v>
      </c>
    </row>
    <row r="616" spans="1:7">
      <c r="A616" s="1"/>
    </row>
    <row r="617" spans="1:7">
      <c r="A617" s="5" t="s">
        <v>1785</v>
      </c>
    </row>
    <row r="618" spans="1:7">
      <c r="A618" s="3" t="s">
        <v>7</v>
      </c>
      <c r="B618" s="3" t="s">
        <v>8</v>
      </c>
      <c r="C618" s="3" t="s">
        <v>9</v>
      </c>
      <c r="D618" s="3" t="s">
        <v>10</v>
      </c>
      <c r="E618" s="3" t="s">
        <v>11</v>
      </c>
      <c r="F618" s="3" t="s">
        <v>12</v>
      </c>
      <c r="G618" s="3" t="s">
        <v>13</v>
      </c>
    </row>
    <row r="619" spans="1:7">
      <c r="A619" t="s">
        <v>397</v>
      </c>
      <c r="B619">
        <v>341.6242133652982</v>
      </c>
      <c r="C619">
        <v>338.37477569853883</v>
      </c>
      <c r="D619">
        <v>327.54342431761785</v>
      </c>
    </row>
    <row r="620" spans="1:7">
      <c r="A620" t="s">
        <v>399</v>
      </c>
      <c r="B620">
        <v>368.33283886728213</v>
      </c>
      <c r="C620">
        <v>355.11713933415541</v>
      </c>
      <c r="D620">
        <v>330.66132264529057</v>
      </c>
    </row>
    <row r="621" spans="1:7">
      <c r="A621" t="s">
        <v>402</v>
      </c>
      <c r="B621">
        <v>329.92576670249196</v>
      </c>
      <c r="C621">
        <v>324.95164410058027</v>
      </c>
      <c r="D621">
        <v>303.33670374115269</v>
      </c>
    </row>
    <row r="622" spans="1:7">
      <c r="A622" s="1" t="s">
        <v>403</v>
      </c>
      <c r="B622">
        <v>360.57692307692309</v>
      </c>
      <c r="C622">
        <v>313.627878033603</v>
      </c>
      <c r="D622">
        <v>309.88686669945889</v>
      </c>
    </row>
    <row r="623" spans="1:7">
      <c r="A623" s="1" t="s">
        <v>406</v>
      </c>
      <c r="B623">
        <v>362.00448765893793</v>
      </c>
      <c r="C623">
        <v>320.16262228433487</v>
      </c>
      <c r="D623">
        <v>320.30490260601357</v>
      </c>
    </row>
    <row r="624" spans="1:7">
      <c r="A624" s="1" t="s">
        <v>407</v>
      </c>
      <c r="B624">
        <v>348.47356664184662</v>
      </c>
      <c r="C624">
        <v>319.67525053913488</v>
      </c>
      <c r="D624">
        <v>306.59172202350533</v>
      </c>
    </row>
    <row r="625" spans="1:5">
      <c r="A625" s="1" t="s">
        <v>410</v>
      </c>
      <c r="B625">
        <v>335.55538910943</v>
      </c>
      <c r="C625">
        <v>333.67037411526798</v>
      </c>
      <c r="D625">
        <v>329.59159302603297</v>
      </c>
    </row>
    <row r="626" spans="1:5">
      <c r="A626" t="s">
        <v>411</v>
      </c>
      <c r="B626">
        <v>344.59510075661098</v>
      </c>
      <c r="C626">
        <v>343.83790558418048</v>
      </c>
      <c r="D626">
        <v>316.2253733216213</v>
      </c>
    </row>
    <row r="627" spans="1:5">
      <c r="A627" t="s">
        <v>413</v>
      </c>
      <c r="B627" t="e">
        <f>NA()</f>
        <v>#N/A</v>
      </c>
      <c r="C627">
        <v>332.32628398791542</v>
      </c>
      <c r="D627">
        <v>326.77311548458971</v>
      </c>
      <c r="E627" t="s">
        <v>15</v>
      </c>
    </row>
    <row r="628" spans="1:5">
      <c r="A628" t="s">
        <v>415</v>
      </c>
      <c r="B628">
        <v>350.24154589371983</v>
      </c>
      <c r="C628">
        <v>357.55926933540616</v>
      </c>
      <c r="D628">
        <v>320.56990204808545</v>
      </c>
    </row>
    <row r="629" spans="1:5">
      <c r="A629" t="s">
        <v>418</v>
      </c>
      <c r="B629">
        <v>338.11245480613388</v>
      </c>
      <c r="C629">
        <v>339.98521803399854</v>
      </c>
      <c r="D629">
        <v>306.5134099616858</v>
      </c>
    </row>
    <row r="630" spans="1:5">
      <c r="A630" s="1" t="s">
        <v>419</v>
      </c>
      <c r="B630">
        <v>327.47358479664967</v>
      </c>
      <c r="C630">
        <v>320.28469750889684</v>
      </c>
      <c r="D630">
        <v>294.44239970555759</v>
      </c>
    </row>
    <row r="631" spans="1:5">
      <c r="A631" s="1" t="s">
        <v>421</v>
      </c>
      <c r="B631">
        <v>344.48327508736895</v>
      </c>
      <c r="C631">
        <v>355.38005923000986</v>
      </c>
      <c r="D631">
        <v>348.13319878910193</v>
      </c>
    </row>
    <row r="632" spans="1:5">
      <c r="A632" s="1" t="s">
        <v>423</v>
      </c>
      <c r="B632">
        <v>401.73270555424165</v>
      </c>
      <c r="C632">
        <v>374.29819089207734</v>
      </c>
      <c r="D632">
        <v>353.76489374769687</v>
      </c>
    </row>
    <row r="633" spans="1:5">
      <c r="A633" s="1" t="s">
        <v>425</v>
      </c>
      <c r="B633">
        <v>362.57139637367305</v>
      </c>
      <c r="C633">
        <v>331.45009416195853</v>
      </c>
      <c r="D633">
        <v>314.44971300224609</v>
      </c>
    </row>
    <row r="634" spans="1:5">
      <c r="A634" t="s">
        <v>427</v>
      </c>
      <c r="B634">
        <v>349.02963743041977</v>
      </c>
      <c r="C634">
        <v>318.95614353026463</v>
      </c>
      <c r="D634">
        <v>312.5</v>
      </c>
    </row>
    <row r="635" spans="1:5">
      <c r="A635" t="s">
        <v>429</v>
      </c>
      <c r="B635">
        <v>349.62395320631884</v>
      </c>
      <c r="C635">
        <v>323.172970987881</v>
      </c>
      <c r="D635">
        <v>328.8145370637439</v>
      </c>
    </row>
    <row r="636" spans="1:5">
      <c r="A636" t="s">
        <v>431</v>
      </c>
      <c r="B636">
        <v>309.77443609022555</v>
      </c>
      <c r="C636">
        <v>329.09498878085265</v>
      </c>
      <c r="D636">
        <v>312.81032770605759</v>
      </c>
    </row>
    <row r="637" spans="1:5">
      <c r="A637" t="s">
        <v>433</v>
      </c>
      <c r="B637">
        <v>355.30342614018065</v>
      </c>
      <c r="C637">
        <v>328.27654812235761</v>
      </c>
      <c r="D637">
        <v>325.76505429417568</v>
      </c>
    </row>
    <row r="638" spans="1:5">
      <c r="A638" s="1" t="s">
        <v>435</v>
      </c>
      <c r="B638">
        <v>383.53017553496966</v>
      </c>
      <c r="C638">
        <v>339.8596231991134</v>
      </c>
      <c r="D638">
        <v>339.63720571208029</v>
      </c>
    </row>
    <row r="639" spans="1:5">
      <c r="A639" s="1" t="s">
        <v>437</v>
      </c>
      <c r="B639">
        <v>345.26758237634164</v>
      </c>
      <c r="C639">
        <v>316.0667251975417</v>
      </c>
      <c r="D639">
        <v>323.86582701452255</v>
      </c>
    </row>
    <row r="640" spans="1:5">
      <c r="A640" s="1" t="s">
        <v>438</v>
      </c>
      <c r="B640">
        <v>370.40754868500301</v>
      </c>
      <c r="C640">
        <v>343.53995519044065</v>
      </c>
      <c r="D640">
        <v>330.04125515689464</v>
      </c>
    </row>
    <row r="641" spans="1:5">
      <c r="A641" s="1" t="s">
        <v>442</v>
      </c>
      <c r="B641">
        <v>386.3335745838429</v>
      </c>
      <c r="C641">
        <v>311.99702859972763</v>
      </c>
      <c r="D641">
        <v>301.12923462986197</v>
      </c>
    </row>
    <row r="642" spans="1:5">
      <c r="A642" t="s">
        <v>443</v>
      </c>
      <c r="B642">
        <v>416.70830418706902</v>
      </c>
      <c r="C642">
        <v>352.26547543075941</v>
      </c>
      <c r="D642">
        <v>325.28339083292258</v>
      </c>
    </row>
    <row r="643" spans="1:5">
      <c r="A643" t="s">
        <v>445</v>
      </c>
      <c r="B643">
        <v>376.41904003186619</v>
      </c>
      <c r="C643">
        <v>341.96506009168627</v>
      </c>
      <c r="D643">
        <v>326.65181885671865</v>
      </c>
    </row>
    <row r="644" spans="1:5">
      <c r="A644" t="s">
        <v>447</v>
      </c>
      <c r="B644">
        <v>384.10004466279594</v>
      </c>
      <c r="C644">
        <v>343.53995519044065</v>
      </c>
      <c r="D644">
        <v>337.42331288343559</v>
      </c>
    </row>
    <row r="645" spans="1:5">
      <c r="A645" t="s">
        <v>449</v>
      </c>
      <c r="B645">
        <v>382.42453137938821</v>
      </c>
      <c r="C645">
        <v>347.96998356680723</v>
      </c>
      <c r="D645">
        <v>333.37542619017552</v>
      </c>
    </row>
    <row r="646" spans="1:5">
      <c r="A646" s="1" t="s">
        <v>451</v>
      </c>
      <c r="B646">
        <v>370.54703386639216</v>
      </c>
      <c r="C646">
        <v>346.19729720948203</v>
      </c>
      <c r="D646">
        <v>340.23668639053255</v>
      </c>
    </row>
    <row r="647" spans="1:5">
      <c r="A647" s="1" t="s">
        <v>453</v>
      </c>
      <c r="B647">
        <v>402.5938258931925</v>
      </c>
      <c r="C647">
        <v>335.43996110841033</v>
      </c>
      <c r="D647">
        <v>325.07739938080493</v>
      </c>
    </row>
    <row r="648" spans="1:5">
      <c r="A648" s="1" t="s">
        <v>454</v>
      </c>
      <c r="B648">
        <v>344.19115079563028</v>
      </c>
      <c r="C648">
        <v>307.95551753635584</v>
      </c>
      <c r="D648">
        <v>311.64976502597079</v>
      </c>
    </row>
    <row r="649" spans="1:5">
      <c r="A649" s="1" t="s">
        <v>457</v>
      </c>
      <c r="B649">
        <v>325.7621040047818</v>
      </c>
      <c r="C649">
        <v>339.69230769230774</v>
      </c>
      <c r="D649">
        <v>299.02815848492401</v>
      </c>
    </row>
    <row r="650" spans="1:5">
      <c r="A650" s="1" t="s">
        <v>459</v>
      </c>
      <c r="B650">
        <v>365.85204420289278</v>
      </c>
      <c r="C650">
        <v>338.8960205391528</v>
      </c>
      <c r="D650">
        <v>341.83799851374783</v>
      </c>
    </row>
    <row r="651" spans="1:5">
      <c r="A651" s="1" t="s">
        <v>462</v>
      </c>
      <c r="B651">
        <v>403.46255175009406</v>
      </c>
      <c r="C651">
        <v>337.89837450403172</v>
      </c>
      <c r="D651">
        <v>338.41815151903603</v>
      </c>
    </row>
    <row r="652" spans="1:5">
      <c r="A652" s="1" t="s">
        <v>463</v>
      </c>
      <c r="B652" t="e">
        <f>NA()</f>
        <v>#N/A</v>
      </c>
      <c r="C652">
        <v>321.91196195585906</v>
      </c>
      <c r="D652">
        <v>309.73451327433628</v>
      </c>
      <c r="E652" t="s">
        <v>59</v>
      </c>
    </row>
    <row r="653" spans="1:5">
      <c r="A653" s="1" t="s">
        <v>465</v>
      </c>
      <c r="B653">
        <v>339.64793802914812</v>
      </c>
      <c r="C653">
        <v>334.14043583535113</v>
      </c>
      <c r="D653">
        <v>329.75268548588559</v>
      </c>
    </row>
    <row r="654" spans="1:5">
      <c r="A654" t="s">
        <v>466</v>
      </c>
      <c r="B654">
        <v>362.74607774557808</v>
      </c>
      <c r="C654">
        <v>336.64881407804131</v>
      </c>
      <c r="D654">
        <v>330.49574361542318</v>
      </c>
    </row>
    <row r="655" spans="1:5">
      <c r="A655" t="s">
        <v>469</v>
      </c>
      <c r="B655">
        <v>387.0870945962842</v>
      </c>
      <c r="C655">
        <v>355.68729158947764</v>
      </c>
      <c r="D655">
        <v>331.20060218291309</v>
      </c>
    </row>
    <row r="656" spans="1:5">
      <c r="A656" t="s">
        <v>471</v>
      </c>
      <c r="B656">
        <v>358.03831110219642</v>
      </c>
      <c r="C656">
        <v>344.31137724550899</v>
      </c>
      <c r="D656">
        <v>329.42350885949588</v>
      </c>
    </row>
    <row r="657" spans="1:7">
      <c r="A657" t="s">
        <v>473</v>
      </c>
      <c r="B657">
        <v>319.64948094301576</v>
      </c>
      <c r="C657">
        <v>325.00307768065989</v>
      </c>
      <c r="D657">
        <v>311.68831168831167</v>
      </c>
    </row>
    <row r="658" spans="1:7">
      <c r="A658" s="1" t="s">
        <v>475</v>
      </c>
      <c r="B658">
        <v>318.92697466467956</v>
      </c>
      <c r="C658">
        <v>311.76543362612887</v>
      </c>
      <c r="D658">
        <v>317.34038534189648</v>
      </c>
    </row>
    <row r="659" spans="1:7">
      <c r="A659" t="s">
        <v>478</v>
      </c>
      <c r="B659">
        <v>321.53052536685533</v>
      </c>
      <c r="C659">
        <v>317.42843832009578</v>
      </c>
      <c r="D659" t="e">
        <f>NA()</f>
        <v>#N/A</v>
      </c>
      <c r="G659" t="s">
        <v>17</v>
      </c>
    </row>
    <row r="660" spans="1:7">
      <c r="A660" t="s">
        <v>479</v>
      </c>
      <c r="B660">
        <v>354.53597497393116</v>
      </c>
      <c r="C660">
        <v>331.90847372391249</v>
      </c>
      <c r="D660">
        <v>313.47182485383752</v>
      </c>
    </row>
    <row r="661" spans="1:7">
      <c r="A661" t="s">
        <v>482</v>
      </c>
      <c r="B661">
        <v>352.86178739540946</v>
      </c>
      <c r="C661">
        <v>323.13341493268058</v>
      </c>
      <c r="D661">
        <v>325.60434139121855</v>
      </c>
    </row>
    <row r="662" spans="1:7">
      <c r="A662" t="s">
        <v>483</v>
      </c>
      <c r="B662">
        <v>373.21575987948677</v>
      </c>
      <c r="C662">
        <v>346.16924686940672</v>
      </c>
      <c r="D662">
        <v>351.81644359464627</v>
      </c>
    </row>
    <row r="663" spans="1:7">
      <c r="A663" s="1" t="s">
        <v>486</v>
      </c>
      <c r="B663">
        <v>392.08786789654908</v>
      </c>
      <c r="C663">
        <v>320.69970845481055</v>
      </c>
      <c r="D663">
        <v>314.25364758698095</v>
      </c>
    </row>
    <row r="664" spans="1:7">
      <c r="A664" s="1" t="s">
        <v>487</v>
      </c>
      <c r="B664">
        <v>404.35057633939857</v>
      </c>
      <c r="C664">
        <v>303.18342597271345</v>
      </c>
      <c r="D664">
        <v>294.23151374370889</v>
      </c>
    </row>
    <row r="665" spans="1:7">
      <c r="A665" s="1" t="s">
        <v>489</v>
      </c>
      <c r="B665">
        <v>328.74255970911264</v>
      </c>
      <c r="C665">
        <v>300.75187969924809</v>
      </c>
      <c r="D665">
        <v>306.35690579525146</v>
      </c>
    </row>
    <row r="666" spans="1:7">
      <c r="A666" s="1" t="s">
        <v>490</v>
      </c>
      <c r="B666">
        <v>352.86201998554662</v>
      </c>
      <c r="C666">
        <v>315.63126252505009</v>
      </c>
      <c r="D666">
        <v>313.627878033603</v>
      </c>
    </row>
    <row r="667" spans="1:7">
      <c r="A667" s="1" t="s">
        <v>493</v>
      </c>
      <c r="B667">
        <v>368.47492323439099</v>
      </c>
      <c r="C667">
        <v>357.05430200843045</v>
      </c>
      <c r="D667">
        <v>321.14183764495988</v>
      </c>
    </row>
    <row r="668" spans="1:7">
      <c r="A668" s="1" t="s">
        <v>494</v>
      </c>
      <c r="B668">
        <v>380.54805294711917</v>
      </c>
      <c r="C668">
        <v>341.03546274558261</v>
      </c>
      <c r="D668">
        <v>323.68808239333009</v>
      </c>
    </row>
    <row r="669" spans="1:7">
      <c r="A669" s="1" t="s">
        <v>497</v>
      </c>
      <c r="B669">
        <v>315.2758663830852</v>
      </c>
      <c r="C669">
        <v>318.78557874762805</v>
      </c>
      <c r="D669">
        <v>313.94045097794941</v>
      </c>
    </row>
    <row r="670" spans="1:7">
      <c r="A670" t="s">
        <v>499</v>
      </c>
      <c r="B670">
        <v>353.63752154042106</v>
      </c>
      <c r="C670">
        <v>346.64657121326297</v>
      </c>
      <c r="D670">
        <v>378.88355645364987</v>
      </c>
    </row>
    <row r="671" spans="1:7">
      <c r="A671" t="s">
        <v>501</v>
      </c>
      <c r="B671">
        <v>359.68527538403896</v>
      </c>
      <c r="C671">
        <v>372.16226274655753</v>
      </c>
      <c r="D671">
        <v>310.76581576026638</v>
      </c>
    </row>
    <row r="672" spans="1:7">
      <c r="A672" t="s">
        <v>502</v>
      </c>
      <c r="B672">
        <v>348.86343700659131</v>
      </c>
      <c r="C672">
        <v>362.40637835225903</v>
      </c>
      <c r="D672">
        <v>331.57498116051238</v>
      </c>
    </row>
    <row r="673" spans="1:4">
      <c r="A673" t="s">
        <v>506</v>
      </c>
      <c r="B673">
        <v>357.12499374781174</v>
      </c>
      <c r="C673">
        <v>325.20325203252031</v>
      </c>
      <c r="D673">
        <v>318.64815932407964</v>
      </c>
    </row>
    <row r="674" spans="1:4">
      <c r="A674" s="1" t="s">
        <v>507</v>
      </c>
      <c r="B674">
        <v>357.54525651618718</v>
      </c>
      <c r="C674">
        <v>377.78617302606727</v>
      </c>
      <c r="D674">
        <v>392.30479064503959</v>
      </c>
    </row>
    <row r="675" spans="1:4">
      <c r="A675" s="1" t="s">
        <v>509</v>
      </c>
      <c r="B675">
        <v>400.79355114135763</v>
      </c>
      <c r="C675">
        <v>339.02468984154285</v>
      </c>
      <c r="D675">
        <v>343.32628436372681</v>
      </c>
    </row>
    <row r="676" spans="1:4">
      <c r="A676" s="1" t="s">
        <v>511</v>
      </c>
      <c r="B676">
        <v>378.39731718304216</v>
      </c>
      <c r="C676">
        <v>397.79005524861878</v>
      </c>
      <c r="D676">
        <v>313.39789235722856</v>
      </c>
    </row>
    <row r="677" spans="1:4">
      <c r="A677" s="1" t="s">
        <v>514</v>
      </c>
      <c r="B677">
        <v>366.39387341391995</v>
      </c>
      <c r="C677">
        <v>327.38095238095241</v>
      </c>
      <c r="D677">
        <v>334.5454545454545</v>
      </c>
    </row>
    <row r="678" spans="1:4">
      <c r="A678" s="1" t="s">
        <v>515</v>
      </c>
      <c r="B678">
        <v>398.38250711397336</v>
      </c>
      <c r="C678">
        <v>344.3543356207112</v>
      </c>
      <c r="D678">
        <v>331.15905669844454</v>
      </c>
    </row>
    <row r="679" spans="1:4">
      <c r="A679" s="1" t="s">
        <v>517</v>
      </c>
      <c r="B679">
        <v>352.02086049543681</v>
      </c>
      <c r="C679">
        <v>348.30893488137303</v>
      </c>
      <c r="D679">
        <v>345.04313039129892</v>
      </c>
    </row>
    <row r="680" spans="1:4">
      <c r="A680" s="1" t="s">
        <v>519</v>
      </c>
      <c r="B680">
        <v>350.34310667498437</v>
      </c>
      <c r="C680">
        <v>335.02538071065993</v>
      </c>
      <c r="D680">
        <v>337.20219914477707</v>
      </c>
    </row>
    <row r="681" spans="1:4">
      <c r="A681" t="s">
        <v>521</v>
      </c>
      <c r="B681">
        <v>342.26538409557764</v>
      </c>
      <c r="C681">
        <v>332.66129032258061</v>
      </c>
      <c r="D681">
        <v>331.90847372391249</v>
      </c>
    </row>
    <row r="682" spans="1:4">
      <c r="A682" t="s">
        <v>522</v>
      </c>
      <c r="B682">
        <v>327.69635475385195</v>
      </c>
      <c r="C682">
        <v>334.43121357993414</v>
      </c>
      <c r="D682">
        <v>327.90957645013043</v>
      </c>
    </row>
    <row r="683" spans="1:4">
      <c r="A683" t="s">
        <v>525</v>
      </c>
      <c r="B683">
        <v>323.59550561797755</v>
      </c>
      <c r="C683">
        <v>330.70274332957536</v>
      </c>
      <c r="D683">
        <v>324.68331078588119</v>
      </c>
    </row>
    <row r="684" spans="1:4">
      <c r="A684" t="s">
        <v>526</v>
      </c>
      <c r="B684">
        <v>335.21225120965732</v>
      </c>
      <c r="C684">
        <v>322.54123396456936</v>
      </c>
      <c r="D684">
        <v>318.38281743524954</v>
      </c>
    </row>
    <row r="685" spans="1:4">
      <c r="A685" s="1" t="s">
        <v>529</v>
      </c>
      <c r="B685">
        <v>359.99549803577861</v>
      </c>
      <c r="C685">
        <v>322.501832396775</v>
      </c>
      <c r="D685">
        <v>320.85561497326205</v>
      </c>
    </row>
    <row r="686" spans="1:4">
      <c r="A686" t="s">
        <v>531</v>
      </c>
      <c r="B686">
        <v>348.27142042991312</v>
      </c>
      <c r="C686">
        <v>322.62194341313528</v>
      </c>
      <c r="D686">
        <v>316.26506024096386</v>
      </c>
    </row>
    <row r="687" spans="1:4">
      <c r="A687" t="s">
        <v>533</v>
      </c>
      <c r="B687">
        <v>350.82458770614693</v>
      </c>
      <c r="C687">
        <v>321.42857142857144</v>
      </c>
      <c r="D687">
        <v>311.68831168831167</v>
      </c>
    </row>
    <row r="688" spans="1:4">
      <c r="A688" t="s">
        <v>534</v>
      </c>
      <c r="B688">
        <v>312</v>
      </c>
      <c r="C688">
        <v>316.0667251975417</v>
      </c>
      <c r="D688">
        <v>314.09697120777759</v>
      </c>
    </row>
    <row r="689" spans="1:5">
      <c r="A689" t="s">
        <v>538</v>
      </c>
      <c r="B689">
        <v>389.51235468773592</v>
      </c>
      <c r="C689">
        <v>346.51600753295668</v>
      </c>
      <c r="D689">
        <v>340.02710360970798</v>
      </c>
    </row>
    <row r="690" spans="1:5">
      <c r="A690" s="1" t="s">
        <v>539</v>
      </c>
      <c r="B690">
        <v>330.31379810820277</v>
      </c>
      <c r="C690">
        <v>349.72677595628414</v>
      </c>
      <c r="D690">
        <v>355.99505562422746</v>
      </c>
    </row>
    <row r="691" spans="1:5">
      <c r="A691" t="s">
        <v>541</v>
      </c>
      <c r="B691">
        <v>349.63641796991732</v>
      </c>
      <c r="C691">
        <v>332.91298865069359</v>
      </c>
      <c r="D691">
        <v>328.88999626261369</v>
      </c>
    </row>
    <row r="692" spans="1:5">
      <c r="A692" t="s">
        <v>543</v>
      </c>
      <c r="B692">
        <v>334.27846590061182</v>
      </c>
      <c r="C692">
        <v>315.9478435305918</v>
      </c>
      <c r="D692">
        <v>321.44161694873981</v>
      </c>
    </row>
    <row r="693" spans="1:5">
      <c r="A693" t="s">
        <v>545</v>
      </c>
      <c r="B693" t="e">
        <f>NA()</f>
        <v>#N/A</v>
      </c>
      <c r="C693">
        <v>331.99195171026156</v>
      </c>
      <c r="D693">
        <v>331.65829145728645</v>
      </c>
      <c r="E693" t="s">
        <v>46</v>
      </c>
    </row>
    <row r="694" spans="1:5">
      <c r="A694" t="s">
        <v>546</v>
      </c>
      <c r="B694">
        <v>338.32335329341316</v>
      </c>
      <c r="C694">
        <v>331.78333542792512</v>
      </c>
      <c r="D694">
        <v>323.45013477088952</v>
      </c>
    </row>
    <row r="695" spans="1:5">
      <c r="A695" s="1" t="s">
        <v>550</v>
      </c>
      <c r="B695">
        <v>320.06317042974626</v>
      </c>
      <c r="C695">
        <v>310.38305210001232</v>
      </c>
      <c r="D695">
        <v>321.67661752162786</v>
      </c>
    </row>
    <row r="696" spans="1:5">
      <c r="A696" s="1" t="s">
        <v>551</v>
      </c>
      <c r="B696">
        <v>332.01226351603981</v>
      </c>
      <c r="C696">
        <v>334.68559837728191</v>
      </c>
      <c r="D696">
        <v>327.38095238095241</v>
      </c>
    </row>
    <row r="697" spans="1:5">
      <c r="A697" s="1" t="s">
        <v>554</v>
      </c>
      <c r="B697">
        <v>344.0730400664001</v>
      </c>
      <c r="C697">
        <v>390.48811013767209</v>
      </c>
      <c r="D697">
        <v>381.38825324180016</v>
      </c>
    </row>
    <row r="698" spans="1:5">
      <c r="A698" s="1" t="s">
        <v>555</v>
      </c>
      <c r="B698">
        <v>362.69299549152458</v>
      </c>
      <c r="C698">
        <v>313.31592689295036</v>
      </c>
      <c r="D698">
        <v>310.19775106630476</v>
      </c>
    </row>
    <row r="699" spans="1:5">
      <c r="A699" s="1" t="s">
        <v>557</v>
      </c>
      <c r="B699">
        <v>345.10353105931779</v>
      </c>
      <c r="C699">
        <v>329.54687304955684</v>
      </c>
      <c r="D699">
        <v>317.46031746031747</v>
      </c>
    </row>
    <row r="700" spans="1:5">
      <c r="A700" s="1" t="s">
        <v>559</v>
      </c>
      <c r="B700">
        <v>305.5111821086262</v>
      </c>
      <c r="C700">
        <v>321.38620361093183</v>
      </c>
      <c r="D700">
        <v>301.9048760033545</v>
      </c>
    </row>
    <row r="701" spans="1:5">
      <c r="A701" s="1" t="s">
        <v>562</v>
      </c>
      <c r="B701">
        <v>341.2747910689784</v>
      </c>
      <c r="C701">
        <v>305.8623619371283</v>
      </c>
      <c r="D701">
        <v>293.04029304029302</v>
      </c>
    </row>
    <row r="702" spans="1:5">
      <c r="A702" s="1" t="s">
        <v>563</v>
      </c>
      <c r="B702">
        <v>306.02295172137912</v>
      </c>
      <c r="C702">
        <v>303.18342597271345</v>
      </c>
      <c r="D702">
        <v>300.5635566687539</v>
      </c>
    </row>
    <row r="703" spans="1:5">
      <c r="A703" s="1" t="s">
        <v>565</v>
      </c>
      <c r="B703">
        <v>330.11500250409205</v>
      </c>
      <c r="C703">
        <v>333.81712626995642</v>
      </c>
      <c r="D703">
        <v>322.33307751343057</v>
      </c>
    </row>
    <row r="704" spans="1:5">
      <c r="A704" s="1" t="s">
        <v>566</v>
      </c>
      <c r="B704">
        <v>356.4919989015653</v>
      </c>
      <c r="C704">
        <v>334.55835762260801</v>
      </c>
      <c r="D704">
        <v>325.3635691397584</v>
      </c>
    </row>
    <row r="705" spans="1:5">
      <c r="A705" s="1" t="s">
        <v>569</v>
      </c>
      <c r="B705">
        <v>336.7577048358807</v>
      </c>
      <c r="C705">
        <v>328.03180914512922</v>
      </c>
      <c r="D705">
        <v>309.1190108191654</v>
      </c>
    </row>
    <row r="706" spans="1:5">
      <c r="A706" s="1" t="s">
        <v>570</v>
      </c>
      <c r="B706">
        <v>379.61440741294274</v>
      </c>
      <c r="C706">
        <v>353.07098197866867</v>
      </c>
      <c r="D706">
        <v>317.18061674008811</v>
      </c>
    </row>
    <row r="707" spans="1:5">
      <c r="A707" s="1" t="s">
        <v>574</v>
      </c>
      <c r="B707">
        <v>323.82189795612413</v>
      </c>
      <c r="C707">
        <v>321.14183764495988</v>
      </c>
      <c r="D707">
        <v>312.5</v>
      </c>
    </row>
    <row r="708" spans="1:5">
      <c r="A708" s="1" t="s">
        <v>575</v>
      </c>
      <c r="B708">
        <v>314.47942092485488</v>
      </c>
      <c r="C708">
        <v>315.2758663830852</v>
      </c>
      <c r="D708">
        <v>304.25963488843809</v>
      </c>
    </row>
    <row r="709" spans="1:5">
      <c r="A709" t="s">
        <v>577</v>
      </c>
      <c r="B709">
        <v>318.81297308135743</v>
      </c>
      <c r="C709">
        <v>324.95164410058027</v>
      </c>
      <c r="D709">
        <v>310.03746286009562</v>
      </c>
    </row>
    <row r="710" spans="1:5">
      <c r="A710" t="s">
        <v>579</v>
      </c>
      <c r="B710">
        <v>326.37987823136041</v>
      </c>
      <c r="C710">
        <v>315.44542414107633</v>
      </c>
      <c r="D710">
        <v>311.68831168831167</v>
      </c>
    </row>
    <row r="711" spans="1:5">
      <c r="A711" t="s">
        <v>582</v>
      </c>
      <c r="B711" t="e">
        <f>NA()</f>
        <v>#N/A</v>
      </c>
      <c r="C711">
        <v>330.78561583761433</v>
      </c>
      <c r="D711">
        <v>324.60346735521949</v>
      </c>
      <c r="E711" t="s">
        <v>60</v>
      </c>
    </row>
    <row r="712" spans="1:5">
      <c r="A712" t="s">
        <v>583</v>
      </c>
      <c r="B712">
        <v>379.49715879356188</v>
      </c>
      <c r="C712">
        <v>335.32325670011431</v>
      </c>
      <c r="D712">
        <v>311.49567367119903</v>
      </c>
    </row>
    <row r="713" spans="1:5">
      <c r="A713" s="1" t="s">
        <v>586</v>
      </c>
      <c r="B713">
        <v>324.64929859719439</v>
      </c>
      <c r="C713">
        <v>305.22701259061427</v>
      </c>
      <c r="D713">
        <v>308.37004405286348</v>
      </c>
    </row>
    <row r="714" spans="1:5">
      <c r="A714" s="1" t="s">
        <v>587</v>
      </c>
      <c r="B714">
        <v>347.2360806226302</v>
      </c>
      <c r="C714">
        <v>333.16506814740029</v>
      </c>
      <c r="D714">
        <v>319.18752266956835</v>
      </c>
    </row>
    <row r="715" spans="1:5">
      <c r="A715" s="1" t="s">
        <v>589</v>
      </c>
      <c r="B715">
        <v>309.96865203761757</v>
      </c>
      <c r="C715">
        <v>313.31592689295036</v>
      </c>
      <c r="D715">
        <v>311.07270707320083</v>
      </c>
    </row>
    <row r="716" spans="1:5">
      <c r="A716" s="1" t="s">
        <v>590</v>
      </c>
      <c r="B716">
        <v>331.88817461503959</v>
      </c>
      <c r="C716">
        <v>314.52820768846726</v>
      </c>
      <c r="D716">
        <v>317.95736480790077</v>
      </c>
    </row>
    <row r="717" spans="1:5">
      <c r="A717" s="1" t="s">
        <v>593</v>
      </c>
      <c r="B717">
        <v>326.78758806775596</v>
      </c>
      <c r="C717">
        <v>308.48329048843192</v>
      </c>
      <c r="D717">
        <v>311.72686788718454</v>
      </c>
    </row>
    <row r="718" spans="1:5">
      <c r="A718" s="1" t="s">
        <v>594</v>
      </c>
      <c r="B718">
        <v>322.35388632255473</v>
      </c>
      <c r="C718">
        <v>308.71003307607498</v>
      </c>
      <c r="D718">
        <v>304.10542321338062</v>
      </c>
    </row>
    <row r="719" spans="1:5">
      <c r="A719" s="1" t="s">
        <v>597</v>
      </c>
      <c r="B719">
        <v>327.81185586212035</v>
      </c>
      <c r="C719">
        <v>310.38305210001232</v>
      </c>
      <c r="D719">
        <v>312.07430340557278</v>
      </c>
    </row>
    <row r="720" spans="1:5">
      <c r="A720" s="1" t="s">
        <v>599</v>
      </c>
      <c r="B720">
        <v>307.04394942805538</v>
      </c>
      <c r="C720">
        <v>291.19145838388744</v>
      </c>
      <c r="D720">
        <v>295.64315352697093</v>
      </c>
    </row>
    <row r="721" spans="1:4">
      <c r="A721" s="1" t="s">
        <v>601</v>
      </c>
      <c r="B721">
        <v>342.97643900984195</v>
      </c>
      <c r="C721">
        <v>282.1782178217822</v>
      </c>
      <c r="D721">
        <v>297.54525167369206</v>
      </c>
    </row>
    <row r="722" spans="1:4">
      <c r="A722" s="1" t="s">
        <v>602</v>
      </c>
      <c r="B722">
        <v>318.79329369369731</v>
      </c>
      <c r="C722">
        <v>296.11351017890189</v>
      </c>
      <c r="D722">
        <v>286.82853189080384</v>
      </c>
    </row>
    <row r="723" spans="1:4">
      <c r="A723" s="1" t="s">
        <v>606</v>
      </c>
      <c r="B723">
        <v>387.83384276193817</v>
      </c>
      <c r="C723">
        <v>293.72169869049077</v>
      </c>
      <c r="D723">
        <v>296.40607632456471</v>
      </c>
    </row>
    <row r="724" spans="1:4">
      <c r="A724" s="1" t="s">
        <v>607</v>
      </c>
      <c r="B724">
        <v>315.81358242362393</v>
      </c>
      <c r="C724">
        <v>292.83329052144876</v>
      </c>
      <c r="D724">
        <v>290.03021148036254</v>
      </c>
    </row>
    <row r="725" spans="1:4">
      <c r="A725" s="1" t="s">
        <v>610</v>
      </c>
      <c r="B725">
        <v>351.95908851620663</v>
      </c>
      <c r="C725">
        <v>294.37017048939043</v>
      </c>
      <c r="D725">
        <v>296.02700597247468</v>
      </c>
    </row>
    <row r="726" spans="1:4">
      <c r="A726" s="1" t="s">
        <v>611</v>
      </c>
      <c r="B726">
        <v>317.25445203771136</v>
      </c>
      <c r="C726">
        <v>326.59409020217731</v>
      </c>
      <c r="D726">
        <v>282.84331968738371</v>
      </c>
    </row>
    <row r="727" spans="1:4">
      <c r="A727" t="s">
        <v>614</v>
      </c>
      <c r="B727">
        <v>375.7985719654265</v>
      </c>
      <c r="C727">
        <v>309.39226519337012</v>
      </c>
      <c r="D727">
        <v>309.46825494289573</v>
      </c>
    </row>
    <row r="728" spans="1:4">
      <c r="A728" t="s">
        <v>615</v>
      </c>
      <c r="B728">
        <v>319.03791681160862</v>
      </c>
      <c r="C728">
        <v>312.22896790980053</v>
      </c>
      <c r="D728">
        <v>301.09145652992095</v>
      </c>
    </row>
    <row r="730" spans="1:4">
      <c r="A730" s="3" t="s">
        <v>18</v>
      </c>
      <c r="B730">
        <v>109</v>
      </c>
    </row>
    <row r="731" spans="1:4">
      <c r="A731" s="4" t="s">
        <v>191</v>
      </c>
      <c r="B731">
        <v>82</v>
      </c>
    </row>
    <row r="732" spans="1:4">
      <c r="A732" s="3" t="s">
        <v>192</v>
      </c>
      <c r="B732">
        <v>27</v>
      </c>
    </row>
    <row r="733" spans="1:4">
      <c r="A733" s="6" t="s">
        <v>193</v>
      </c>
      <c r="B733">
        <v>75.22935779816514</v>
      </c>
    </row>
    <row r="735" spans="1:4">
      <c r="A735" s="3" t="s">
        <v>19</v>
      </c>
      <c r="B735">
        <v>9.047177076339727</v>
      </c>
    </row>
    <row r="736" spans="1:4">
      <c r="A736" s="1" t="s">
        <v>20</v>
      </c>
      <c r="B736">
        <v>228.27787155011208</v>
      </c>
    </row>
    <row r="737" spans="1:7">
      <c r="A737" t="s">
        <v>23</v>
      </c>
      <c r="B737">
        <v>15.108867315259344</v>
      </c>
    </row>
    <row r="738" spans="1:7">
      <c r="A738" t="s">
        <v>24</v>
      </c>
      <c r="B738">
        <v>1.4471670254474129</v>
      </c>
    </row>
    <row r="739" spans="1:7">
      <c r="A739" t="s">
        <v>21</v>
      </c>
      <c r="B739">
        <v>6.2516467810912557</v>
      </c>
    </row>
    <row r="740" spans="1:7">
      <c r="A740" s="3" t="s">
        <v>22</v>
      </c>
      <c r="B740">
        <f>TDIST(ABS(B739),108,1)</f>
        <v>4.1415851557964409E-9</v>
      </c>
    </row>
    <row r="741" spans="1:7">
      <c r="A741" s="1"/>
    </row>
    <row r="742" spans="1:7">
      <c r="A742" s="2" t="s">
        <v>1786</v>
      </c>
    </row>
    <row r="743" spans="1:7">
      <c r="A743" s="3" t="s">
        <v>7</v>
      </c>
      <c r="B743" s="3" t="s">
        <v>8</v>
      </c>
      <c r="C743" s="3" t="s">
        <v>9</v>
      </c>
      <c r="D743" s="3" t="s">
        <v>10</v>
      </c>
      <c r="E743" s="3" t="s">
        <v>11</v>
      </c>
      <c r="F743" s="3" t="s">
        <v>12</v>
      </c>
      <c r="G743" s="3" t="s">
        <v>13</v>
      </c>
    </row>
    <row r="744" spans="1:7">
      <c r="A744" t="s">
        <v>617</v>
      </c>
      <c r="B744" t="e">
        <f>NA()</f>
        <v>#N/A</v>
      </c>
      <c r="C744">
        <v>317.26048092660204</v>
      </c>
      <c r="D744">
        <v>355.16093229744729</v>
      </c>
      <c r="E744" t="s">
        <v>14</v>
      </c>
    </row>
    <row r="745" spans="1:7">
      <c r="A745" t="s">
        <v>618</v>
      </c>
      <c r="B745">
        <v>328.29287703939514</v>
      </c>
      <c r="C745">
        <v>323.45013477088946</v>
      </c>
      <c r="D745">
        <v>321.46957520091854</v>
      </c>
    </row>
    <row r="746" spans="1:7">
      <c r="A746" s="1"/>
    </row>
    <row r="747" spans="1:7">
      <c r="A747" s="4" t="s">
        <v>18</v>
      </c>
      <c r="B747">
        <v>2</v>
      </c>
    </row>
    <row r="748" spans="1:7">
      <c r="A748" s="4" t="s">
        <v>191</v>
      </c>
      <c r="B748">
        <v>1</v>
      </c>
    </row>
    <row r="749" spans="1:7">
      <c r="A749" s="4" t="s">
        <v>192</v>
      </c>
      <c r="B749">
        <v>1</v>
      </c>
    </row>
    <row r="750" spans="1:7">
      <c r="A750" s="6" t="s">
        <v>193</v>
      </c>
      <c r="B750">
        <v>50</v>
      </c>
    </row>
    <row r="752" spans="1:7">
      <c r="A752" s="3" t="s">
        <v>19</v>
      </c>
      <c r="B752">
        <v>-17.959945900437162</v>
      </c>
    </row>
    <row r="753" spans="1:7">
      <c r="A753" t="s">
        <v>20</v>
      </c>
      <c r="B753">
        <v>795.24751683074942</v>
      </c>
    </row>
    <row r="754" spans="1:7">
      <c r="A754" s="1" t="s">
        <v>23</v>
      </c>
      <c r="B754">
        <v>28.200133276826005</v>
      </c>
    </row>
    <row r="755" spans="1:7">
      <c r="A755" s="1" t="s">
        <v>24</v>
      </c>
      <c r="B755">
        <v>19.940505470408084</v>
      </c>
    </row>
    <row r="756" spans="1:7">
      <c r="A756" s="1" t="s">
        <v>21</v>
      </c>
      <c r="B756">
        <v>-0.90067656143872121</v>
      </c>
    </row>
    <row r="757" spans="1:7">
      <c r="A757" s="3" t="s">
        <v>22</v>
      </c>
      <c r="B757">
        <f>TDIST(ABS(B756),1,1)</f>
        <v>0.26661876713227517</v>
      </c>
    </row>
    <row r="759" spans="1:7">
      <c r="A759" s="2" t="s">
        <v>1787</v>
      </c>
    </row>
    <row r="760" spans="1:7">
      <c r="A760" s="3" t="s">
        <v>7</v>
      </c>
      <c r="B760" s="3" t="s">
        <v>8</v>
      </c>
      <c r="C760" s="3" t="s">
        <v>9</v>
      </c>
      <c r="D760" s="3" t="s">
        <v>10</v>
      </c>
      <c r="E760" s="3" t="s">
        <v>11</v>
      </c>
      <c r="F760" s="3" t="s">
        <v>12</v>
      </c>
      <c r="G760" s="3" t="s">
        <v>13</v>
      </c>
    </row>
    <row r="761" spans="1:7">
      <c r="A761" s="1" t="s">
        <v>619</v>
      </c>
      <c r="B761">
        <v>337.69144564811353</v>
      </c>
      <c r="C761">
        <v>332.24263780518504</v>
      </c>
      <c r="D761">
        <v>328.39905460878214</v>
      </c>
    </row>
    <row r="762" spans="1:7">
      <c r="A762" t="s">
        <v>620</v>
      </c>
      <c r="B762">
        <v>334.05413466557303</v>
      </c>
      <c r="C762">
        <v>337.69729597455034</v>
      </c>
      <c r="D762">
        <v>325.32347504621072</v>
      </c>
    </row>
    <row r="764" spans="1:7">
      <c r="A764" s="3" t="s">
        <v>18</v>
      </c>
      <c r="B764">
        <v>2</v>
      </c>
    </row>
    <row r="765" spans="1:7">
      <c r="A765" s="3" t="s">
        <v>191</v>
      </c>
      <c r="B765">
        <v>2</v>
      </c>
    </row>
    <row r="766" spans="1:7">
      <c r="A766" s="4" t="s">
        <v>192</v>
      </c>
      <c r="B766">
        <v>0</v>
      </c>
    </row>
    <row r="767" spans="1:7">
      <c r="A767" s="6" t="s">
        <v>193</v>
      </c>
      <c r="B767">
        <v>100</v>
      </c>
    </row>
    <row r="768" spans="1:7">
      <c r="A768" s="1"/>
    </row>
    <row r="769" spans="1:7">
      <c r="A769" s="4" t="s">
        <v>19</v>
      </c>
      <c r="B769">
        <v>8.1087020623712647</v>
      </c>
    </row>
    <row r="770" spans="1:7">
      <c r="A770" s="1" t="s">
        <v>20</v>
      </c>
      <c r="B770">
        <v>36.382477881678476</v>
      </c>
    </row>
    <row r="771" spans="1:7">
      <c r="A771" s="1" t="s">
        <v>23</v>
      </c>
      <c r="B771">
        <v>6.0317889453858111</v>
      </c>
    </row>
    <row r="772" spans="1:7">
      <c r="A772" s="1" t="s">
        <v>24</v>
      </c>
      <c r="B772">
        <v>4.2651188659683612</v>
      </c>
    </row>
    <row r="773" spans="1:7">
      <c r="A773" t="s">
        <v>21</v>
      </c>
      <c r="B773">
        <v>1.9011667241143229</v>
      </c>
    </row>
    <row r="774" spans="1:7">
      <c r="A774" s="3" t="s">
        <v>22</v>
      </c>
      <c r="B774">
        <f>TDIST(ABS(B773),1,1)</f>
        <v>0.15413359348514871</v>
      </c>
    </row>
    <row r="776" spans="1:7">
      <c r="A776" s="2" t="s">
        <v>141</v>
      </c>
    </row>
    <row r="777" spans="1:7">
      <c r="A777" s="4" t="s">
        <v>7</v>
      </c>
      <c r="B777" s="3" t="s">
        <v>8</v>
      </c>
      <c r="C777" s="3" t="s">
        <v>9</v>
      </c>
      <c r="D777" s="3" t="s">
        <v>10</v>
      </c>
      <c r="E777" s="3" t="s">
        <v>11</v>
      </c>
      <c r="F777" s="3" t="s">
        <v>12</v>
      </c>
      <c r="G777" s="3" t="s">
        <v>13</v>
      </c>
    </row>
    <row r="778" spans="1:7">
      <c r="A778" s="1" t="s">
        <v>621</v>
      </c>
      <c r="B778">
        <v>344.66251795117284</v>
      </c>
      <c r="C778">
        <v>313.43283582089549</v>
      </c>
      <c r="D778">
        <v>320.81662413415967</v>
      </c>
    </row>
    <row r="779" spans="1:7">
      <c r="A779" s="1" t="s">
        <v>622</v>
      </c>
      <c r="B779">
        <v>351.88995192554273</v>
      </c>
      <c r="C779">
        <v>376.61760840856851</v>
      </c>
      <c r="D779">
        <v>319.3511595488531</v>
      </c>
    </row>
    <row r="780" spans="1:7">
      <c r="A780" s="1"/>
    </row>
    <row r="781" spans="1:7">
      <c r="A781" s="3" t="s">
        <v>18</v>
      </c>
      <c r="B781">
        <v>2</v>
      </c>
    </row>
    <row r="782" spans="1:7">
      <c r="A782" s="3" t="s">
        <v>191</v>
      </c>
      <c r="B782">
        <v>1</v>
      </c>
    </row>
    <row r="783" spans="1:7">
      <c r="A783" s="3" t="s">
        <v>192</v>
      </c>
      <c r="B783">
        <v>1</v>
      </c>
    </row>
    <row r="784" spans="1:7">
      <c r="A784" s="6" t="s">
        <v>193</v>
      </c>
      <c r="B784">
        <v>50</v>
      </c>
    </row>
    <row r="785" spans="1:7">
      <c r="A785" s="1"/>
    </row>
    <row r="786" spans="1:7">
      <c r="A786" s="3" t="s">
        <v>19</v>
      </c>
      <c r="B786">
        <v>24.941330273225617</v>
      </c>
    </row>
    <row r="787" spans="1:7">
      <c r="A787" t="s">
        <v>20</v>
      </c>
      <c r="B787">
        <v>2089.826583261256</v>
      </c>
    </row>
    <row r="788" spans="1:7">
      <c r="A788" t="s">
        <v>23</v>
      </c>
      <c r="B788">
        <v>45.71462111033248</v>
      </c>
    </row>
    <row r="789" spans="1:7">
      <c r="A789" t="s">
        <v>24</v>
      </c>
      <c r="B789">
        <v>32.325118586489793</v>
      </c>
    </row>
    <row r="790" spans="1:7">
      <c r="A790" s="1" t="s">
        <v>21</v>
      </c>
      <c r="B790">
        <v>0.77157737895042977</v>
      </c>
    </row>
    <row r="791" spans="1:7">
      <c r="A791" s="4" t="s">
        <v>22</v>
      </c>
      <c r="B791">
        <f>TDIST(ABS(B790),1,1)</f>
        <v>0.2908168591034157</v>
      </c>
    </row>
    <row r="792" spans="1:7">
      <c r="A792" s="1"/>
    </row>
    <row r="793" spans="1:7">
      <c r="A793" s="5" t="s">
        <v>1788</v>
      </c>
    </row>
    <row r="794" spans="1:7">
      <c r="A794" s="3" t="s">
        <v>7</v>
      </c>
      <c r="B794" s="3" t="s">
        <v>8</v>
      </c>
      <c r="C794" s="3" t="s">
        <v>9</v>
      </c>
      <c r="D794" s="3" t="s">
        <v>10</v>
      </c>
      <c r="E794" s="3" t="s">
        <v>11</v>
      </c>
      <c r="F794" s="3" t="s">
        <v>12</v>
      </c>
      <c r="G794" s="3" t="s">
        <v>13</v>
      </c>
    </row>
    <row r="795" spans="1:7">
      <c r="A795" t="s">
        <v>623</v>
      </c>
      <c r="B795">
        <v>357.9313830459331</v>
      </c>
      <c r="C795">
        <v>330.44765573268387</v>
      </c>
      <c r="D795">
        <v>313.97956640917016</v>
      </c>
    </row>
    <row r="796" spans="1:7">
      <c r="A796" t="s">
        <v>624</v>
      </c>
      <c r="B796" t="e">
        <f>NA()</f>
        <v>#N/A</v>
      </c>
      <c r="C796">
        <v>315.86863875658059</v>
      </c>
      <c r="D796">
        <v>306.04809327179981</v>
      </c>
      <c r="E796" t="s">
        <v>47</v>
      </c>
    </row>
    <row r="798" spans="1:7">
      <c r="A798" s="4" t="s">
        <v>18</v>
      </c>
      <c r="B798">
        <v>2</v>
      </c>
    </row>
    <row r="799" spans="1:7">
      <c r="A799" s="4" t="s">
        <v>191</v>
      </c>
      <c r="B799">
        <v>2</v>
      </c>
    </row>
    <row r="800" spans="1:7">
      <c r="A800" s="4" t="s">
        <v>192</v>
      </c>
      <c r="B800">
        <v>0</v>
      </c>
    </row>
    <row r="801" spans="1:7">
      <c r="A801" s="6" t="s">
        <v>193</v>
      </c>
      <c r="B801">
        <v>100</v>
      </c>
    </row>
    <row r="803" spans="1:7">
      <c r="A803" s="3" t="s">
        <v>19</v>
      </c>
      <c r="B803">
        <v>13.144317404147245</v>
      </c>
    </row>
    <row r="804" spans="1:7">
      <c r="A804" t="s">
        <v>20</v>
      </c>
      <c r="B804">
        <v>22.094919543938062</v>
      </c>
    </row>
    <row r="805" spans="1:7">
      <c r="A805" t="s">
        <v>23</v>
      </c>
      <c r="B805">
        <v>4.7005233266029069</v>
      </c>
    </row>
    <row r="806" spans="1:7">
      <c r="A806" s="1" t="s">
        <v>24</v>
      </c>
      <c r="B806">
        <v>3.3237719193664645</v>
      </c>
    </row>
    <row r="807" spans="1:7">
      <c r="A807" t="s">
        <v>21</v>
      </c>
      <c r="B807">
        <v>3.9546388028492183</v>
      </c>
    </row>
    <row r="808" spans="1:7">
      <c r="A808" s="3" t="s">
        <v>22</v>
      </c>
      <c r="B808">
        <f>TDIST(ABS(B807),1,1)</f>
        <v>7.8837639449913829E-2</v>
      </c>
    </row>
    <row r="810" spans="1:7">
      <c r="A810" s="2" t="s">
        <v>1789</v>
      </c>
    </row>
    <row r="811" spans="1:7">
      <c r="A811" s="4" t="s">
        <v>7</v>
      </c>
      <c r="B811" s="3" t="s">
        <v>8</v>
      </c>
      <c r="C811" s="3" t="s">
        <v>9</v>
      </c>
      <c r="D811" s="3" t="s">
        <v>10</v>
      </c>
      <c r="E811" s="3" t="s">
        <v>11</v>
      </c>
      <c r="F811" s="3" t="s">
        <v>12</v>
      </c>
      <c r="G811" s="3" t="s">
        <v>13</v>
      </c>
    </row>
    <row r="812" spans="1:7">
      <c r="A812" s="1" t="s">
        <v>625</v>
      </c>
      <c r="B812">
        <v>314.36341408647485</v>
      </c>
      <c r="C812">
        <v>301.12923462986197</v>
      </c>
      <c r="D812">
        <v>335.31770137285872</v>
      </c>
    </row>
    <row r="813" spans="1:7">
      <c r="A813" s="1" t="s">
        <v>626</v>
      </c>
      <c r="B813">
        <v>317.90462861141657</v>
      </c>
      <c r="C813">
        <v>365.9931376286695</v>
      </c>
      <c r="D813">
        <v>311.84259373839876</v>
      </c>
    </row>
    <row r="815" spans="1:7">
      <c r="A815" s="3" t="s">
        <v>18</v>
      </c>
      <c r="B815">
        <v>2</v>
      </c>
    </row>
    <row r="816" spans="1:7">
      <c r="A816" s="3" t="s">
        <v>191</v>
      </c>
      <c r="B816">
        <v>1</v>
      </c>
    </row>
    <row r="817" spans="1:7">
      <c r="A817" s="3" t="s">
        <v>192</v>
      </c>
      <c r="B817">
        <v>1</v>
      </c>
    </row>
    <row r="818" spans="1:7">
      <c r="A818" s="6" t="s">
        <v>193</v>
      </c>
      <c r="B818">
        <v>50</v>
      </c>
    </row>
    <row r="819" spans="1:7">
      <c r="A819" s="1"/>
    </row>
    <row r="820" spans="1:7">
      <c r="A820" s="4" t="s">
        <v>19</v>
      </c>
      <c r="B820">
        <v>9.9810385736369938</v>
      </c>
    </row>
    <row r="821" spans="1:7">
      <c r="A821" s="1" t="s">
        <v>20</v>
      </c>
      <c r="B821">
        <v>3901.8903998322735</v>
      </c>
    </row>
    <row r="822" spans="1:7">
      <c r="A822" t="s">
        <v>23</v>
      </c>
      <c r="B822">
        <v>62.465113462093974</v>
      </c>
    </row>
    <row r="823" spans="1:7">
      <c r="A823" t="s">
        <v>24</v>
      </c>
      <c r="B823">
        <v>44.169505316633746</v>
      </c>
    </row>
    <row r="824" spans="1:7">
      <c r="A824" t="s">
        <v>21</v>
      </c>
      <c r="B824">
        <v>0.22597125555486458</v>
      </c>
    </row>
    <row r="825" spans="1:7">
      <c r="A825" s="3" t="s">
        <v>22</v>
      </c>
      <c r="B825">
        <f>TDIST(ABS(B824),1,1)</f>
        <v>0.42925922316442222</v>
      </c>
    </row>
    <row r="826" spans="1:7">
      <c r="A826" s="1"/>
    </row>
    <row r="827" spans="1:7">
      <c r="A827" s="5" t="s">
        <v>1790</v>
      </c>
    </row>
    <row r="828" spans="1:7">
      <c r="A828" s="4" t="s">
        <v>7</v>
      </c>
      <c r="B828" s="3" t="s">
        <v>8</v>
      </c>
      <c r="C828" s="3" t="s">
        <v>9</v>
      </c>
      <c r="D828" s="3" t="s">
        <v>10</v>
      </c>
      <c r="E828" s="3" t="s">
        <v>11</v>
      </c>
      <c r="F828" s="3" t="s">
        <v>12</v>
      </c>
      <c r="G828" s="3" t="s">
        <v>13</v>
      </c>
    </row>
    <row r="829" spans="1:7">
      <c r="A829" s="1" t="s">
        <v>627</v>
      </c>
      <c r="B829">
        <v>342.90825961634033</v>
      </c>
      <c r="C829">
        <v>322.02976335691631</v>
      </c>
      <c r="D829">
        <v>318.86625332152346</v>
      </c>
    </row>
    <row r="830" spans="1:7">
      <c r="A830" t="s">
        <v>628</v>
      </c>
      <c r="B830">
        <v>376.06327413818832</v>
      </c>
      <c r="C830">
        <v>397.57333264840383</v>
      </c>
      <c r="D830">
        <v>369.2566543085486</v>
      </c>
    </row>
    <row r="832" spans="1:7">
      <c r="A832" s="3" t="s">
        <v>18</v>
      </c>
      <c r="B832">
        <v>2</v>
      </c>
    </row>
    <row r="833" spans="1:7">
      <c r="A833" s="3" t="s">
        <v>191</v>
      </c>
      <c r="B833">
        <v>2</v>
      </c>
    </row>
    <row r="834" spans="1:7">
      <c r="A834" s="4" t="s">
        <v>192</v>
      </c>
      <c r="B834">
        <v>0</v>
      </c>
    </row>
    <row r="835" spans="1:7">
      <c r="A835" s="6" t="s">
        <v>193</v>
      </c>
      <c r="B835">
        <v>100</v>
      </c>
    </row>
    <row r="837" spans="1:7">
      <c r="A837" s="3" t="s">
        <v>19</v>
      </c>
      <c r="B837">
        <v>15.740094187624038</v>
      </c>
    </row>
    <row r="838" spans="1:7">
      <c r="A838" t="s">
        <v>20</v>
      </c>
      <c r="B838">
        <v>316.34093787630553</v>
      </c>
    </row>
    <row r="839" spans="1:7">
      <c r="A839" s="1" t="s">
        <v>23</v>
      </c>
      <c r="B839">
        <v>17.785975876411886</v>
      </c>
    </row>
    <row r="840" spans="1:7">
      <c r="A840" s="1" t="s">
        <v>24</v>
      </c>
      <c r="B840">
        <v>12.576584152231192</v>
      </c>
    </row>
    <row r="841" spans="1:7">
      <c r="A841" t="s">
        <v>21</v>
      </c>
      <c r="B841">
        <v>1.2515396865397361</v>
      </c>
    </row>
    <row r="842" spans="1:7">
      <c r="A842" s="3" t="s">
        <v>22</v>
      </c>
      <c r="B842">
        <f>TDIST(ABS(B841),1,1)</f>
        <v>0.21458559823936596</v>
      </c>
    </row>
    <row r="844" spans="1:7">
      <c r="A844" s="2" t="s">
        <v>1791</v>
      </c>
    </row>
    <row r="845" spans="1:7">
      <c r="A845" s="4" t="s">
        <v>7</v>
      </c>
      <c r="B845" s="3" t="s">
        <v>8</v>
      </c>
      <c r="C845" s="3" t="s">
        <v>9</v>
      </c>
      <c r="D845" s="3" t="s">
        <v>10</v>
      </c>
      <c r="E845" s="3" t="s">
        <v>11</v>
      </c>
      <c r="F845" s="3" t="s">
        <v>12</v>
      </c>
      <c r="G845" s="3" t="s">
        <v>13</v>
      </c>
    </row>
    <row r="846" spans="1:7">
      <c r="A846" t="s">
        <v>629</v>
      </c>
      <c r="B846">
        <v>322.00626959247649</v>
      </c>
      <c r="C846">
        <v>306.5134099616858</v>
      </c>
      <c r="D846">
        <v>324.96307237813886</v>
      </c>
    </row>
    <row r="847" spans="1:7">
      <c r="A847" t="s">
        <v>632</v>
      </c>
      <c r="B847">
        <v>306.16073438555242</v>
      </c>
      <c r="C847">
        <v>358.0753450205147</v>
      </c>
      <c r="D847">
        <v>306.8661296509398</v>
      </c>
    </row>
    <row r="849" spans="1:7">
      <c r="A849" s="3" t="s">
        <v>18</v>
      </c>
      <c r="B849">
        <v>2</v>
      </c>
    </row>
    <row r="850" spans="1:7">
      <c r="A850" s="4" t="s">
        <v>191</v>
      </c>
      <c r="B850">
        <v>1</v>
      </c>
    </row>
    <row r="851" spans="1:7">
      <c r="A851" s="4" t="s">
        <v>192</v>
      </c>
      <c r="B851">
        <v>1</v>
      </c>
    </row>
    <row r="852" spans="1:7">
      <c r="A852" s="6" t="s">
        <v>193</v>
      </c>
      <c r="B852">
        <v>50</v>
      </c>
    </row>
    <row r="853" spans="1:7">
      <c r="A853" s="1"/>
    </row>
    <row r="854" spans="1:7">
      <c r="A854" s="3" t="s">
        <v>19</v>
      </c>
      <c r="B854">
        <v>16.37977647656092</v>
      </c>
    </row>
    <row r="855" spans="1:7">
      <c r="A855" t="s">
        <v>20</v>
      </c>
      <c r="B855">
        <v>2426.1796272043907</v>
      </c>
    </row>
    <row r="856" spans="1:7">
      <c r="A856" t="s">
        <v>23</v>
      </c>
      <c r="B856">
        <v>49.256264852345339</v>
      </c>
    </row>
    <row r="857" spans="1:7">
      <c r="A857" t="s">
        <v>24</v>
      </c>
      <c r="B857">
        <v>34.829438893013986</v>
      </c>
    </row>
    <row r="858" spans="1:7">
      <c r="A858" s="1" t="s">
        <v>21</v>
      </c>
      <c r="B858">
        <v>0.47028539641063066</v>
      </c>
    </row>
    <row r="859" spans="1:7">
      <c r="A859" s="4" t="s">
        <v>22</v>
      </c>
      <c r="B859">
        <f>TDIST(ABS(B858),1,1)</f>
        <v>0.36007268636952761</v>
      </c>
    </row>
    <row r="860" spans="1:7">
      <c r="A860" s="1"/>
    </row>
    <row r="861" spans="1:7">
      <c r="A861" s="5" t="s">
        <v>1792</v>
      </c>
    </row>
    <row r="862" spans="1:7">
      <c r="A862" s="4" t="s">
        <v>7</v>
      </c>
      <c r="B862" s="3" t="s">
        <v>8</v>
      </c>
      <c r="C862" s="3" t="s">
        <v>9</v>
      </c>
      <c r="D862" s="3" t="s">
        <v>10</v>
      </c>
      <c r="E862" s="3" t="s">
        <v>11</v>
      </c>
      <c r="F862" s="3" t="s">
        <v>12</v>
      </c>
      <c r="G862" s="3" t="s">
        <v>13</v>
      </c>
    </row>
    <row r="863" spans="1:7">
      <c r="A863" s="1" t="s">
        <v>630</v>
      </c>
      <c r="B863">
        <v>306.15307653826915</v>
      </c>
      <c r="C863">
        <v>316.57076364810376</v>
      </c>
      <c r="D863">
        <v>314.80324797001879</v>
      </c>
    </row>
    <row r="864" spans="1:7">
      <c r="A864" s="1" t="s">
        <v>631</v>
      </c>
      <c r="B864">
        <v>321.06421284256851</v>
      </c>
      <c r="C864">
        <v>316.70227472665579</v>
      </c>
      <c r="D864">
        <v>313.86224934612034</v>
      </c>
    </row>
    <row r="865" spans="1:7">
      <c r="A865" s="1"/>
    </row>
    <row r="866" spans="1:7">
      <c r="A866" s="3" t="s">
        <v>18</v>
      </c>
      <c r="B866">
        <v>2</v>
      </c>
    </row>
    <row r="867" spans="1:7">
      <c r="A867" s="3" t="s">
        <v>191</v>
      </c>
      <c r="B867">
        <v>2</v>
      </c>
    </row>
    <row r="868" spans="1:7">
      <c r="A868" s="3" t="s">
        <v>192</v>
      </c>
      <c r="B868">
        <v>0</v>
      </c>
    </row>
    <row r="869" spans="1:7">
      <c r="A869" s="6" t="s">
        <v>193</v>
      </c>
      <c r="B869">
        <v>100</v>
      </c>
    </row>
    <row r="870" spans="1:7">
      <c r="A870" s="1"/>
    </row>
    <row r="871" spans="1:7">
      <c r="A871" s="4" t="s">
        <v>19</v>
      </c>
      <c r="B871">
        <v>2.3037705293102135</v>
      </c>
    </row>
    <row r="872" spans="1:7">
      <c r="A872" s="1" t="s">
        <v>20</v>
      </c>
      <c r="B872">
        <v>0.57513853092520306</v>
      </c>
    </row>
    <row r="873" spans="1:7">
      <c r="A873" s="1" t="s">
        <v>23</v>
      </c>
      <c r="B873">
        <v>0.75837888349109717</v>
      </c>
    </row>
    <row r="874" spans="1:7">
      <c r="A874" s="1" t="s">
        <v>24</v>
      </c>
      <c r="B874">
        <v>0.53625485122523742</v>
      </c>
    </row>
    <row r="875" spans="1:7">
      <c r="A875" s="1" t="s">
        <v>21</v>
      </c>
      <c r="B875">
        <v>4.2960367147197802</v>
      </c>
    </row>
    <row r="876" spans="1:7">
      <c r="A876" s="4" t="s">
        <v>22</v>
      </c>
      <c r="B876">
        <f>TDIST(ABS(B875),1,1)</f>
        <v>7.2797524094303984E-2</v>
      </c>
    </row>
    <row r="878" spans="1:7">
      <c r="A878" s="2" t="s">
        <v>1793</v>
      </c>
    </row>
    <row r="879" spans="1:7">
      <c r="A879" s="3" t="s">
        <v>7</v>
      </c>
      <c r="B879" s="3" t="s">
        <v>8</v>
      </c>
      <c r="C879" s="3" t="s">
        <v>9</v>
      </c>
      <c r="D879" s="3" t="s">
        <v>10</v>
      </c>
      <c r="E879" s="3" t="s">
        <v>11</v>
      </c>
      <c r="F879" s="3" t="s">
        <v>12</v>
      </c>
      <c r="G879" s="3" t="s">
        <v>13</v>
      </c>
    </row>
    <row r="880" spans="1:7">
      <c r="A880" t="s">
        <v>633</v>
      </c>
      <c r="B880">
        <v>312.86036600651789</v>
      </c>
      <c r="C880">
        <v>312.74433150899137</v>
      </c>
      <c r="D880">
        <v>316.54314784574808</v>
      </c>
    </row>
    <row r="881" spans="1:7">
      <c r="A881" s="1" t="s">
        <v>636</v>
      </c>
      <c r="B881">
        <v>323.66015683532294</v>
      </c>
      <c r="C881">
        <v>323.2521121586874</v>
      </c>
      <c r="D881">
        <v>312.53875728636984</v>
      </c>
    </row>
    <row r="883" spans="1:7">
      <c r="A883" s="3" t="s">
        <v>18</v>
      </c>
      <c r="B883">
        <v>2</v>
      </c>
    </row>
    <row r="884" spans="1:7">
      <c r="A884" s="3" t="s">
        <v>191</v>
      </c>
      <c r="B884">
        <v>1</v>
      </c>
    </row>
    <row r="885" spans="1:7">
      <c r="A885" s="3" t="s">
        <v>192</v>
      </c>
      <c r="B885">
        <v>1</v>
      </c>
    </row>
    <row r="886" spans="1:7">
      <c r="A886" s="6" t="s">
        <v>193</v>
      </c>
      <c r="B886">
        <v>50</v>
      </c>
    </row>
    <row r="887" spans="1:7">
      <c r="A887" s="1"/>
    </row>
    <row r="888" spans="1:7">
      <c r="A888" s="4" t="s">
        <v>19</v>
      </c>
      <c r="B888">
        <v>3.4572692677804184</v>
      </c>
    </row>
    <row r="889" spans="1:7">
      <c r="A889" s="1" t="s">
        <v>20</v>
      </c>
      <c r="B889">
        <v>105.30155660074205</v>
      </c>
    </row>
    <row r="890" spans="1:7">
      <c r="A890" t="s">
        <v>23</v>
      </c>
      <c r="B890">
        <v>10.261654671676594</v>
      </c>
    </row>
    <row r="891" spans="1:7">
      <c r="A891" t="s">
        <v>24</v>
      </c>
      <c r="B891">
        <v>7.2560856045371338</v>
      </c>
    </row>
    <row r="892" spans="1:7">
      <c r="A892" t="s">
        <v>21</v>
      </c>
      <c r="B892">
        <v>0.47646478503762885</v>
      </c>
    </row>
    <row r="893" spans="1:7">
      <c r="A893" s="3" t="s">
        <v>22</v>
      </c>
      <c r="B893">
        <f>TDIST(ABS(B892),1,1)</f>
        <v>0.35846580387079019</v>
      </c>
    </row>
    <row r="894" spans="1:7">
      <c r="A894" s="1"/>
    </row>
    <row r="895" spans="1:7">
      <c r="A895" s="5" t="s">
        <v>1794</v>
      </c>
    </row>
    <row r="896" spans="1:7">
      <c r="A896" s="4" t="s">
        <v>7</v>
      </c>
      <c r="B896" s="3" t="s">
        <v>8</v>
      </c>
      <c r="C896" s="3" t="s">
        <v>9</v>
      </c>
      <c r="D896" s="3" t="s">
        <v>10</v>
      </c>
      <c r="E896" s="3" t="s">
        <v>11</v>
      </c>
      <c r="F896" s="3" t="s">
        <v>12</v>
      </c>
      <c r="G896" s="3" t="s">
        <v>13</v>
      </c>
    </row>
    <row r="897" spans="1:4">
      <c r="A897" s="1" t="s">
        <v>634</v>
      </c>
      <c r="B897">
        <v>346.7547109035271</v>
      </c>
      <c r="C897">
        <v>333.75474083438684</v>
      </c>
      <c r="D897">
        <v>319.18936035465487</v>
      </c>
    </row>
    <row r="898" spans="1:4">
      <c r="A898" t="s">
        <v>635</v>
      </c>
      <c r="B898">
        <v>377.93386157422452</v>
      </c>
      <c r="C898">
        <v>318.5840707964602</v>
      </c>
      <c r="D898">
        <v>314.29284110750814</v>
      </c>
    </row>
    <row r="900" spans="1:4">
      <c r="A900" s="3" t="s">
        <v>18</v>
      </c>
      <c r="B900">
        <v>2</v>
      </c>
    </row>
    <row r="901" spans="1:4">
      <c r="A901" s="3" t="s">
        <v>191</v>
      </c>
      <c r="B901">
        <v>2</v>
      </c>
    </row>
    <row r="902" spans="1:4">
      <c r="A902" s="3" t="s">
        <v>192</v>
      </c>
      <c r="B902">
        <v>0</v>
      </c>
    </row>
    <row r="903" spans="1:4">
      <c r="A903" s="6" t="s">
        <v>193</v>
      </c>
      <c r="B903">
        <v>100</v>
      </c>
    </row>
    <row r="905" spans="1:4">
      <c r="A905" s="3" t="s">
        <v>19</v>
      </c>
      <c r="B905">
        <v>9.4283050843420142</v>
      </c>
    </row>
    <row r="906" spans="1:4">
      <c r="A906" t="s">
        <v>20</v>
      </c>
      <c r="B906">
        <v>52.779087235841757</v>
      </c>
    </row>
    <row r="907" spans="1:4">
      <c r="A907" t="s">
        <v>23</v>
      </c>
      <c r="B907">
        <v>7.264921695093606</v>
      </c>
    </row>
    <row r="908" spans="1:4">
      <c r="A908" t="s">
        <v>24</v>
      </c>
      <c r="B908">
        <v>5.1370753953899566</v>
      </c>
    </row>
    <row r="909" spans="1:4">
      <c r="A909" t="s">
        <v>21</v>
      </c>
      <c r="B909">
        <v>1.8353448915316746</v>
      </c>
    </row>
    <row r="910" spans="1:4">
      <c r="A910" s="3" t="s">
        <v>22</v>
      </c>
      <c r="B910">
        <f>TDIST(ABS(B909),1,1)</f>
        <v>0.15880030197786532</v>
      </c>
    </row>
    <row r="912" spans="1:4">
      <c r="A912" s="2" t="s">
        <v>1795</v>
      </c>
    </row>
    <row r="913" spans="1:7">
      <c r="A913" s="3" t="s">
        <v>7</v>
      </c>
      <c r="B913" s="3" t="s">
        <v>8</v>
      </c>
      <c r="C913" s="3" t="s">
        <v>9</v>
      </c>
      <c r="D913" s="3" t="s">
        <v>10</v>
      </c>
      <c r="E913" s="3" t="s">
        <v>11</v>
      </c>
      <c r="F913" s="3" t="s">
        <v>12</v>
      </c>
      <c r="G913" s="3" t="s">
        <v>13</v>
      </c>
    </row>
    <row r="914" spans="1:7">
      <c r="A914" t="s">
        <v>637</v>
      </c>
      <c r="B914">
        <v>334.73223933857713</v>
      </c>
      <c r="C914">
        <v>310.42128603104214</v>
      </c>
      <c r="D914">
        <v>299.66287926083152</v>
      </c>
    </row>
    <row r="915" spans="1:7">
      <c r="A915" t="s">
        <v>639</v>
      </c>
      <c r="B915">
        <v>392.11026615969581</v>
      </c>
      <c r="C915">
        <v>383.79522128594232</v>
      </c>
      <c r="D915">
        <v>399.02800869676429</v>
      </c>
    </row>
    <row r="917" spans="1:7">
      <c r="A917" s="3" t="s">
        <v>18</v>
      </c>
      <c r="B917">
        <v>2</v>
      </c>
    </row>
    <row r="918" spans="1:7">
      <c r="A918" s="3" t="s">
        <v>191</v>
      </c>
      <c r="B918">
        <v>1</v>
      </c>
    </row>
    <row r="919" spans="1:7">
      <c r="A919" s="3" t="s">
        <v>192</v>
      </c>
      <c r="B919">
        <v>1</v>
      </c>
    </row>
    <row r="920" spans="1:7">
      <c r="A920" s="6" t="s">
        <v>193</v>
      </c>
      <c r="B920">
        <v>50</v>
      </c>
    </row>
    <row r="922" spans="1:7">
      <c r="A922" s="3" t="s">
        <v>19</v>
      </c>
      <c r="B922">
        <v>-2.2371903203056718</v>
      </c>
    </row>
    <row r="923" spans="1:7">
      <c r="A923" t="s">
        <v>20</v>
      </c>
      <c r="B923">
        <v>337.77108747807137</v>
      </c>
    </row>
    <row r="924" spans="1:7">
      <c r="A924" t="s">
        <v>23</v>
      </c>
      <c r="B924">
        <v>18.378549656544482</v>
      </c>
    </row>
    <row r="925" spans="1:7">
      <c r="A925" t="s">
        <v>24</v>
      </c>
      <c r="B925">
        <v>12.995597090516299</v>
      </c>
    </row>
    <row r="926" spans="1:7">
      <c r="A926" t="s">
        <v>21</v>
      </c>
      <c r="B926">
        <v>-0.17214986773776556</v>
      </c>
    </row>
    <row r="927" spans="1:7">
      <c r="A927" s="3" t="s">
        <v>22</v>
      </c>
      <c r="B927">
        <f>TDIST(ABS(B926),1,1)</f>
        <v>0.44573488270135186</v>
      </c>
    </row>
    <row r="929" spans="1:7">
      <c r="A929" s="2" t="s">
        <v>1796</v>
      </c>
    </row>
    <row r="930" spans="1:7">
      <c r="A930" s="3" t="s">
        <v>7</v>
      </c>
      <c r="B930" s="3" t="s">
        <v>8</v>
      </c>
      <c r="C930" s="3" t="s">
        <v>9</v>
      </c>
      <c r="D930" s="3" t="s">
        <v>10</v>
      </c>
      <c r="E930" s="3" t="s">
        <v>11</v>
      </c>
      <c r="F930" s="3" t="s">
        <v>12</v>
      </c>
      <c r="G930" s="3" t="s">
        <v>13</v>
      </c>
    </row>
    <row r="931" spans="1:7">
      <c r="A931" t="s">
        <v>638</v>
      </c>
      <c r="B931">
        <v>318.43785204656405</v>
      </c>
      <c r="C931">
        <v>311.1879476413929</v>
      </c>
      <c r="D931">
        <v>334.5454545454545</v>
      </c>
    </row>
    <row r="932" spans="1:7">
      <c r="A932" t="s">
        <v>640</v>
      </c>
      <c r="B932">
        <v>306.44434429923393</v>
      </c>
      <c r="C932">
        <v>310.39834454216248</v>
      </c>
      <c r="D932">
        <v>315.31531531531527</v>
      </c>
    </row>
    <row r="934" spans="1:7">
      <c r="A934" s="3" t="s">
        <v>18</v>
      </c>
      <c r="B934">
        <v>2</v>
      </c>
    </row>
    <row r="935" spans="1:7">
      <c r="A935" s="3" t="s">
        <v>191</v>
      </c>
      <c r="B935">
        <v>0</v>
      </c>
    </row>
    <row r="936" spans="1:7">
      <c r="A936" s="3" t="s">
        <v>192</v>
      </c>
      <c r="B936">
        <v>2</v>
      </c>
    </row>
    <row r="937" spans="1:7">
      <c r="A937" s="6" t="s">
        <v>193</v>
      </c>
      <c r="B937">
        <v>0</v>
      </c>
    </row>
    <row r="939" spans="1:7">
      <c r="A939" s="3" t="s">
        <v>19</v>
      </c>
      <c r="B939">
        <v>-14.137238838607203</v>
      </c>
    </row>
    <row r="940" spans="1:7">
      <c r="A940" t="s">
        <v>20</v>
      </c>
      <c r="B940">
        <v>170.02668639767666</v>
      </c>
    </row>
    <row r="941" spans="1:7">
      <c r="A941" t="s">
        <v>23</v>
      </c>
      <c r="B941">
        <v>13.039428146881161</v>
      </c>
    </row>
    <row r="942" spans="1:7">
      <c r="A942" t="s">
        <v>24</v>
      </c>
      <c r="B942">
        <v>9.2202680654544054</v>
      </c>
    </row>
    <row r="943" spans="1:7">
      <c r="A943" t="s">
        <v>21</v>
      </c>
      <c r="B943">
        <v>-1.5332785053804694</v>
      </c>
    </row>
    <row r="944" spans="1:7">
      <c r="A944" s="3" t="s">
        <v>22</v>
      </c>
      <c r="B944">
        <f>TDIST(ABS(B943),1,1)</f>
        <v>0.18395710777880633</v>
      </c>
    </row>
    <row r="946" spans="1:7">
      <c r="A946" s="2" t="s">
        <v>1797</v>
      </c>
    </row>
    <row r="947" spans="1:7">
      <c r="A947" s="3" t="s">
        <v>7</v>
      </c>
      <c r="B947" s="3" t="s">
        <v>8</v>
      </c>
      <c r="C947" s="3" t="s">
        <v>9</v>
      </c>
      <c r="D947" s="3" t="s">
        <v>10</v>
      </c>
      <c r="E947" s="3" t="s">
        <v>11</v>
      </c>
      <c r="F947" s="3" t="s">
        <v>12</v>
      </c>
      <c r="G947" s="3" t="s">
        <v>13</v>
      </c>
    </row>
    <row r="948" spans="1:7">
      <c r="A948" t="s">
        <v>641</v>
      </c>
      <c r="B948" t="e">
        <f>NA()</f>
        <v>#N/A</v>
      </c>
      <c r="C948">
        <v>364.14211657605262</v>
      </c>
      <c r="D948">
        <v>356.12711759614194</v>
      </c>
      <c r="E948" t="s">
        <v>14</v>
      </c>
    </row>
    <row r="949" spans="1:7">
      <c r="A949" t="s">
        <v>644</v>
      </c>
      <c r="B949">
        <v>395.61587502619494</v>
      </c>
      <c r="C949">
        <v>409.50455005055613</v>
      </c>
      <c r="D949">
        <v>339.02468984154285</v>
      </c>
    </row>
    <row r="951" spans="1:7">
      <c r="A951" s="3" t="s">
        <v>18</v>
      </c>
      <c r="B951">
        <v>2</v>
      </c>
    </row>
    <row r="952" spans="1:7">
      <c r="A952" s="3" t="s">
        <v>191</v>
      </c>
      <c r="B952">
        <v>2</v>
      </c>
    </row>
    <row r="953" spans="1:7">
      <c r="A953" s="3" t="s">
        <v>192</v>
      </c>
      <c r="B953">
        <v>0</v>
      </c>
    </row>
    <row r="954" spans="1:7">
      <c r="A954" s="6" t="s">
        <v>193</v>
      </c>
      <c r="B954">
        <v>100</v>
      </c>
    </row>
    <row r="956" spans="1:7">
      <c r="A956" s="3" t="s">
        <v>19</v>
      </c>
      <c r="B956">
        <v>39.247429594461977</v>
      </c>
    </row>
    <row r="957" spans="1:7">
      <c r="A957" t="s">
        <v>20</v>
      </c>
      <c r="B957">
        <v>1950.9294441855232</v>
      </c>
    </row>
    <row r="958" spans="1:7">
      <c r="A958" t="s">
        <v>23</v>
      </c>
      <c r="B958">
        <v>44.169326960975113</v>
      </c>
    </row>
    <row r="959" spans="1:7">
      <c r="A959" t="s">
        <v>24</v>
      </c>
      <c r="B959">
        <v>31.232430614551305</v>
      </c>
    </row>
    <row r="960" spans="1:7">
      <c r="A960" t="s">
        <v>21</v>
      </c>
      <c r="B960">
        <v>1.2566242467269408</v>
      </c>
    </row>
    <row r="961" spans="1:7">
      <c r="A961" s="3" t="s">
        <v>22</v>
      </c>
      <c r="B961">
        <f>TDIST(ABS(B960),1,1)</f>
        <v>0.21395651046647651</v>
      </c>
    </row>
    <row r="963" spans="1:7">
      <c r="A963" s="2" t="s">
        <v>1798</v>
      </c>
    </row>
    <row r="964" spans="1:7">
      <c r="A964" s="3" t="s">
        <v>7</v>
      </c>
      <c r="B964" s="3" t="s">
        <v>8</v>
      </c>
      <c r="C964" s="3" t="s">
        <v>9</v>
      </c>
      <c r="D964" s="3" t="s">
        <v>10</v>
      </c>
      <c r="E964" s="3" t="s">
        <v>11</v>
      </c>
      <c r="F964" s="3" t="s">
        <v>12</v>
      </c>
      <c r="G964" s="3" t="s">
        <v>13</v>
      </c>
    </row>
    <row r="965" spans="1:7">
      <c r="A965" t="s">
        <v>642</v>
      </c>
      <c r="B965">
        <v>429.20387183912356</v>
      </c>
      <c r="C965">
        <v>432.45930160308188</v>
      </c>
      <c r="D965">
        <v>380.56577445135105</v>
      </c>
    </row>
    <row r="966" spans="1:7">
      <c r="A966" t="s">
        <v>643</v>
      </c>
      <c r="B966">
        <v>439.30809573627084</v>
      </c>
      <c r="C966">
        <v>435.10877719429857</v>
      </c>
      <c r="D966">
        <v>356.81329724416668</v>
      </c>
    </row>
    <row r="968" spans="1:7">
      <c r="A968" s="3" t="s">
        <v>18</v>
      </c>
      <c r="B968">
        <v>2</v>
      </c>
    </row>
    <row r="969" spans="1:7">
      <c r="A969" s="3" t="s">
        <v>191</v>
      </c>
      <c r="B969">
        <v>2</v>
      </c>
    </row>
    <row r="970" spans="1:7">
      <c r="A970" s="3" t="s">
        <v>192</v>
      </c>
      <c r="B970">
        <v>0</v>
      </c>
    </row>
    <row r="971" spans="1:7">
      <c r="A971" s="6" t="s">
        <v>193</v>
      </c>
      <c r="B971">
        <v>100</v>
      </c>
    </row>
    <row r="973" spans="1:7">
      <c r="A973" s="3" t="s">
        <v>19</v>
      </c>
      <c r="B973">
        <v>65.094503550931364</v>
      </c>
    </row>
    <row r="974" spans="1:7">
      <c r="A974" t="s">
        <v>20</v>
      </c>
      <c r="B974">
        <v>348.53155578449866</v>
      </c>
    </row>
    <row r="975" spans="1:7">
      <c r="A975" t="s">
        <v>23</v>
      </c>
      <c r="B975">
        <v>18.668999860316532</v>
      </c>
    </row>
    <row r="976" spans="1:7">
      <c r="A976" t="s">
        <v>24</v>
      </c>
      <c r="B976">
        <v>13.200976399200528</v>
      </c>
    </row>
    <row r="977" spans="1:7">
      <c r="A977" t="s">
        <v>21</v>
      </c>
      <c r="B977">
        <v>4.931037037144737</v>
      </c>
    </row>
    <row r="978" spans="1:7">
      <c r="A978" s="3" t="s">
        <v>22</v>
      </c>
      <c r="B978">
        <f>TDIST(ABS(B977),1,1)</f>
        <v>6.3688595735323247E-2</v>
      </c>
    </row>
    <row r="980" spans="1:7">
      <c r="A980" s="2" t="s">
        <v>1799</v>
      </c>
    </row>
    <row r="981" spans="1:7">
      <c r="A981" s="3" t="s">
        <v>7</v>
      </c>
      <c r="B981" s="3" t="s">
        <v>8</v>
      </c>
      <c r="C981" s="3" t="s">
        <v>9</v>
      </c>
      <c r="D981" s="3" t="s">
        <v>10</v>
      </c>
      <c r="E981" s="3" t="s">
        <v>11</v>
      </c>
      <c r="F981" s="3" t="s">
        <v>12</v>
      </c>
      <c r="G981" s="3" t="s">
        <v>13</v>
      </c>
    </row>
    <row r="982" spans="1:7">
      <c r="A982" t="s">
        <v>645</v>
      </c>
      <c r="B982">
        <v>403.63414465102608</v>
      </c>
      <c r="C982">
        <v>363.02032913843169</v>
      </c>
      <c r="D982" t="e">
        <f>NA()</f>
        <v>#N/A</v>
      </c>
      <c r="G982" t="s">
        <v>15</v>
      </c>
    </row>
    <row r="983" spans="1:7">
      <c r="A983" t="s">
        <v>648</v>
      </c>
      <c r="B983">
        <v>352.86201998554662</v>
      </c>
      <c r="C983">
        <v>338.69186403239661</v>
      </c>
      <c r="D983">
        <v>327.34035957842531</v>
      </c>
    </row>
    <row r="985" spans="1:7">
      <c r="A985" s="3" t="s">
        <v>18</v>
      </c>
      <c r="B985">
        <v>1</v>
      </c>
    </row>
    <row r="986" spans="1:7">
      <c r="A986" s="3" t="s">
        <v>191</v>
      </c>
      <c r="B986">
        <v>1</v>
      </c>
    </row>
    <row r="987" spans="1:7">
      <c r="A987" s="3" t="s">
        <v>192</v>
      </c>
      <c r="B987">
        <v>0</v>
      </c>
    </row>
    <row r="988" spans="1:7">
      <c r="A988" s="6" t="s">
        <v>193</v>
      </c>
      <c r="B988">
        <v>100</v>
      </c>
    </row>
    <row r="990" spans="1:7">
      <c r="A990" s="3" t="s">
        <v>19</v>
      </c>
      <c r="B990">
        <v>11.351504453971302</v>
      </c>
    </row>
    <row r="991" spans="1:7">
      <c r="A991" t="s">
        <v>41</v>
      </c>
    </row>
    <row r="993" spans="1:7">
      <c r="A993" s="2" t="s">
        <v>1800</v>
      </c>
    </row>
    <row r="994" spans="1:7">
      <c r="A994" s="3" t="s">
        <v>7</v>
      </c>
      <c r="B994" s="3" t="s">
        <v>8</v>
      </c>
      <c r="C994" s="3" t="s">
        <v>9</v>
      </c>
      <c r="D994" s="3" t="s">
        <v>10</v>
      </c>
      <c r="E994" s="3" t="s">
        <v>11</v>
      </c>
      <c r="F994" s="3" t="s">
        <v>12</v>
      </c>
      <c r="G994" s="3" t="s">
        <v>13</v>
      </c>
    </row>
    <row r="995" spans="1:7">
      <c r="A995" t="s">
        <v>646</v>
      </c>
      <c r="B995">
        <v>365.98170091495427</v>
      </c>
      <c r="C995">
        <v>335.19553072625695</v>
      </c>
      <c r="D995">
        <v>327.70605759682223</v>
      </c>
    </row>
    <row r="996" spans="1:7">
      <c r="A996" t="s">
        <v>647</v>
      </c>
      <c r="B996">
        <v>334.81976034478464</v>
      </c>
      <c r="C996">
        <v>324.32432432432432</v>
      </c>
      <c r="D996">
        <v>327.58406750217148</v>
      </c>
    </row>
    <row r="998" spans="1:7">
      <c r="A998" s="3" t="s">
        <v>18</v>
      </c>
      <c r="B998">
        <v>2</v>
      </c>
    </row>
    <row r="999" spans="1:7">
      <c r="A999" s="3" t="s">
        <v>191</v>
      </c>
      <c r="B999">
        <v>1</v>
      </c>
    </row>
    <row r="1000" spans="1:7">
      <c r="A1000" s="3" t="s">
        <v>192</v>
      </c>
      <c r="B1000">
        <v>1</v>
      </c>
    </row>
    <row r="1001" spans="1:7">
      <c r="A1001" s="6" t="s">
        <v>193</v>
      </c>
      <c r="B1001">
        <v>50</v>
      </c>
    </row>
    <row r="1003" spans="1:7">
      <c r="A1003" s="3" t="s">
        <v>19</v>
      </c>
      <c r="B1003">
        <v>2.114864975793779</v>
      </c>
    </row>
    <row r="1004" spans="1:7">
      <c r="A1004" t="s">
        <v>20</v>
      </c>
      <c r="B1004">
        <v>57.772825610367242</v>
      </c>
    </row>
    <row r="1005" spans="1:7">
      <c r="A1005" t="s">
        <v>23</v>
      </c>
      <c r="B1005">
        <v>7.6008437433200298</v>
      </c>
    </row>
    <row r="1006" spans="1:7">
      <c r="A1006" t="s">
        <v>24</v>
      </c>
      <c r="B1006">
        <v>5.3746081536409349</v>
      </c>
    </row>
    <row r="1007" spans="1:7">
      <c r="A1007" t="s">
        <v>21</v>
      </c>
      <c r="B1007">
        <v>0.39349193752126849</v>
      </c>
    </row>
    <row r="1008" spans="1:7">
      <c r="A1008" s="3" t="s">
        <v>22</v>
      </c>
      <c r="B1008">
        <f>TDIST(ABS(B1007),1,1)</f>
        <v>0.38067090167034695</v>
      </c>
    </row>
    <row r="1010" spans="1:7">
      <c r="A1010" s="2" t="s">
        <v>1801</v>
      </c>
    </row>
    <row r="1011" spans="1:7">
      <c r="A1011" s="3" t="s">
        <v>7</v>
      </c>
      <c r="B1011" s="3" t="s">
        <v>8</v>
      </c>
      <c r="C1011" s="3" t="s">
        <v>9</v>
      </c>
      <c r="D1011" s="3" t="s">
        <v>10</v>
      </c>
      <c r="E1011" s="3" t="s">
        <v>11</v>
      </c>
      <c r="F1011" s="3" t="s">
        <v>12</v>
      </c>
      <c r="G1011" s="3" t="s">
        <v>13</v>
      </c>
    </row>
    <row r="1012" spans="1:7">
      <c r="A1012" t="s">
        <v>649</v>
      </c>
      <c r="B1012">
        <v>362.88839862484764</v>
      </c>
      <c r="C1012">
        <v>334.85540334855403</v>
      </c>
      <c r="D1012">
        <v>318.03397181062525</v>
      </c>
    </row>
    <row r="1013" spans="1:7">
      <c r="A1013" t="s">
        <v>650</v>
      </c>
      <c r="B1013">
        <v>352.31768306337244</v>
      </c>
      <c r="C1013">
        <v>376.00613091994813</v>
      </c>
      <c r="D1013">
        <v>353.33087964666913</v>
      </c>
    </row>
    <row r="1015" spans="1:7">
      <c r="A1015" s="3" t="s">
        <v>18</v>
      </c>
      <c r="B1015">
        <v>2</v>
      </c>
    </row>
    <row r="1016" spans="1:7">
      <c r="A1016" s="3" t="s">
        <v>191</v>
      </c>
      <c r="B1016">
        <v>2</v>
      </c>
    </row>
    <row r="1017" spans="1:7">
      <c r="A1017" s="3" t="s">
        <v>192</v>
      </c>
      <c r="B1017">
        <v>0</v>
      </c>
    </row>
    <row r="1018" spans="1:7">
      <c r="A1018" s="6" t="s">
        <v>193</v>
      </c>
      <c r="B1018">
        <v>100</v>
      </c>
    </row>
    <row r="1020" spans="1:7">
      <c r="A1020" s="3" t="s">
        <v>19</v>
      </c>
      <c r="B1020">
        <v>19.748341405603895</v>
      </c>
    </row>
    <row r="1021" spans="1:7">
      <c r="A1021" t="s">
        <v>20</v>
      </c>
      <c r="B1021">
        <v>17.133602746987826</v>
      </c>
    </row>
    <row r="1022" spans="1:7">
      <c r="A1022" t="s">
        <v>23</v>
      </c>
      <c r="B1022">
        <v>4.1392756307097773</v>
      </c>
    </row>
    <row r="1023" spans="1:7">
      <c r="A1023" t="s">
        <v>24</v>
      </c>
      <c r="B1023">
        <v>2.9269098676751071</v>
      </c>
    </row>
    <row r="1024" spans="1:7">
      <c r="A1024" t="s">
        <v>21</v>
      </c>
      <c r="B1024">
        <v>6.7471641760155494</v>
      </c>
    </row>
    <row r="1025" spans="1:7">
      <c r="A1025" s="3" t="s">
        <v>22</v>
      </c>
      <c r="B1025">
        <f>TDIST(ABS(B1024),1,1)</f>
        <v>4.6835888747396109E-2</v>
      </c>
    </row>
    <row r="1027" spans="1:7">
      <c r="A1027" s="2" t="s">
        <v>1802</v>
      </c>
    </row>
    <row r="1028" spans="1:7">
      <c r="A1028" s="3" t="s">
        <v>7</v>
      </c>
      <c r="B1028" s="3" t="s">
        <v>8</v>
      </c>
      <c r="C1028" s="3" t="s">
        <v>9</v>
      </c>
      <c r="D1028" s="3" t="s">
        <v>10</v>
      </c>
      <c r="E1028" s="3" t="s">
        <v>11</v>
      </c>
      <c r="F1028" s="3" t="s">
        <v>12</v>
      </c>
      <c r="G1028" s="3" t="s">
        <v>13</v>
      </c>
    </row>
    <row r="1029" spans="1:7">
      <c r="A1029" t="s">
        <v>651</v>
      </c>
      <c r="B1029">
        <v>380.95603518588359</v>
      </c>
      <c r="C1029">
        <v>322.62006599046805</v>
      </c>
      <c r="D1029">
        <v>314.96062992125985</v>
      </c>
    </row>
    <row r="1030" spans="1:7">
      <c r="A1030" t="s">
        <v>652</v>
      </c>
      <c r="B1030">
        <v>386.16849105061777</v>
      </c>
      <c r="C1030">
        <v>340.42553191489361</v>
      </c>
      <c r="D1030">
        <v>325.83397982932507</v>
      </c>
    </row>
    <row r="1032" spans="1:7">
      <c r="A1032" s="3" t="s">
        <v>18</v>
      </c>
      <c r="B1032">
        <v>2</v>
      </c>
    </row>
    <row r="1033" spans="1:7">
      <c r="A1033" s="3" t="s">
        <v>191</v>
      </c>
      <c r="B1033">
        <v>2</v>
      </c>
    </row>
    <row r="1034" spans="1:7">
      <c r="A1034" s="3" t="s">
        <v>192</v>
      </c>
      <c r="B1034">
        <v>0</v>
      </c>
    </row>
    <row r="1035" spans="1:7">
      <c r="A1035" s="6" t="s">
        <v>193</v>
      </c>
      <c r="B1035">
        <v>100</v>
      </c>
    </row>
    <row r="1037" spans="1:7">
      <c r="A1037" s="3" t="s">
        <v>19</v>
      </c>
      <c r="B1037">
        <v>11.125494077388367</v>
      </c>
    </row>
    <row r="1038" spans="1:7">
      <c r="A1038" t="s">
        <v>20</v>
      </c>
      <c r="B1038">
        <v>24.027116232139772</v>
      </c>
    </row>
    <row r="1039" spans="1:7">
      <c r="A1039" t="s">
        <v>23</v>
      </c>
      <c r="B1039">
        <v>4.9017462431402725</v>
      </c>
    </row>
    <row r="1040" spans="1:7">
      <c r="A1040" t="s">
        <v>24</v>
      </c>
      <c r="B1040">
        <v>3.4660580081801697</v>
      </c>
    </row>
    <row r="1041" spans="1:7">
      <c r="A1041" t="s">
        <v>21</v>
      </c>
      <c r="B1041">
        <v>3.2098407040884274</v>
      </c>
    </row>
    <row r="1042" spans="1:7">
      <c r="A1042" s="3" t="s">
        <v>22</v>
      </c>
      <c r="B1042">
        <f>TDIST(ABS(B1041),1,1)</f>
        <v>9.6133343929446918E-2</v>
      </c>
    </row>
    <row r="1044" spans="1:7">
      <c r="A1044" s="2" t="s">
        <v>1803</v>
      </c>
    </row>
    <row r="1045" spans="1:7">
      <c r="A1045" s="3" t="s">
        <v>7</v>
      </c>
      <c r="B1045" s="3" t="s">
        <v>8</v>
      </c>
      <c r="C1045" s="3" t="s">
        <v>9</v>
      </c>
      <c r="D1045" s="3" t="s">
        <v>10</v>
      </c>
      <c r="E1045" s="3" t="s">
        <v>11</v>
      </c>
      <c r="F1045" s="3" t="s">
        <v>12</v>
      </c>
      <c r="G1045" s="3" t="s">
        <v>13</v>
      </c>
    </row>
    <row r="1046" spans="1:7">
      <c r="A1046" t="s">
        <v>653</v>
      </c>
      <c r="B1046">
        <v>344.99137521561966</v>
      </c>
      <c r="C1046">
        <v>326.8135677147809</v>
      </c>
      <c r="D1046">
        <v>317.98107255520506</v>
      </c>
    </row>
    <row r="1047" spans="1:7">
      <c r="A1047" t="s">
        <v>656</v>
      </c>
      <c r="B1047">
        <v>336.53846153846155</v>
      </c>
      <c r="C1047">
        <v>322.08588957055218</v>
      </c>
      <c r="D1047">
        <v>313.70596290302501</v>
      </c>
    </row>
    <row r="1049" spans="1:7">
      <c r="A1049" s="3" t="s">
        <v>18</v>
      </c>
      <c r="B1049">
        <v>2</v>
      </c>
    </row>
    <row r="1050" spans="1:7">
      <c r="A1050" s="3" t="s">
        <v>191</v>
      </c>
      <c r="B1050">
        <v>2</v>
      </c>
    </row>
    <row r="1051" spans="1:7">
      <c r="A1051" s="3" t="s">
        <v>192</v>
      </c>
      <c r="B1051">
        <v>0</v>
      </c>
    </row>
    <row r="1052" spans="1:7">
      <c r="A1052" s="6" t="s">
        <v>193</v>
      </c>
      <c r="B1052">
        <v>100</v>
      </c>
    </row>
    <row r="1054" spans="1:7">
      <c r="A1054" s="3" t="s">
        <v>19</v>
      </c>
      <c r="B1054">
        <v>8.6062109135515072</v>
      </c>
    </row>
    <row r="1055" spans="1:7">
      <c r="A1055" t="s">
        <v>20</v>
      </c>
      <c r="B1055">
        <v>0.1024091199976034</v>
      </c>
    </row>
    <row r="1056" spans="1:7">
      <c r="A1056" t="s">
        <v>23</v>
      </c>
      <c r="B1056">
        <v>0.32001424967898445</v>
      </c>
    </row>
    <row r="1057" spans="1:7">
      <c r="A1057" t="s">
        <v>24</v>
      </c>
      <c r="B1057">
        <v>0.22628424602433483</v>
      </c>
    </row>
    <row r="1058" spans="1:7">
      <c r="A1058" t="s">
        <v>21</v>
      </c>
      <c r="B1058">
        <v>38.03274450058705</v>
      </c>
    </row>
    <row r="1059" spans="1:7">
      <c r="A1059" s="3" t="s">
        <v>22</v>
      </c>
      <c r="B1059">
        <f>TDIST(ABS(B1058),1,1)</f>
        <v>8.3674362303402128E-3</v>
      </c>
    </row>
    <row r="1061" spans="1:7">
      <c r="A1061" s="2" t="s">
        <v>1804</v>
      </c>
    </row>
    <row r="1062" spans="1:7">
      <c r="A1062" s="3" t="s">
        <v>7</v>
      </c>
      <c r="B1062" s="3" t="s">
        <v>8</v>
      </c>
      <c r="C1062" s="3" t="s">
        <v>9</v>
      </c>
      <c r="D1062" s="3" t="s">
        <v>10</v>
      </c>
      <c r="E1062" s="3" t="s">
        <v>11</v>
      </c>
      <c r="F1062" s="3" t="s">
        <v>12</v>
      </c>
      <c r="G1062" s="3" t="s">
        <v>13</v>
      </c>
    </row>
    <row r="1063" spans="1:7">
      <c r="A1063" t="s">
        <v>654</v>
      </c>
      <c r="B1063">
        <v>342.38518333124762</v>
      </c>
      <c r="C1063">
        <v>330.4543747653023</v>
      </c>
      <c r="D1063">
        <v>310.077519379845</v>
      </c>
    </row>
    <row r="1064" spans="1:7">
      <c r="A1064" t="s">
        <v>655</v>
      </c>
      <c r="B1064">
        <v>347.69078157208304</v>
      </c>
      <c r="C1064">
        <v>316.0667251975417</v>
      </c>
      <c r="D1064">
        <v>311.03431251542827</v>
      </c>
    </row>
    <row r="1066" spans="1:7">
      <c r="A1066" s="3" t="s">
        <v>18</v>
      </c>
      <c r="B1066">
        <v>2</v>
      </c>
    </row>
    <row r="1067" spans="1:7">
      <c r="A1067" s="3" t="s">
        <v>191</v>
      </c>
      <c r="B1067">
        <v>2</v>
      </c>
    </row>
    <row r="1068" spans="1:7">
      <c r="A1068" s="3" t="s">
        <v>192</v>
      </c>
      <c r="B1068">
        <v>0</v>
      </c>
    </row>
    <row r="1069" spans="1:7">
      <c r="A1069" s="6" t="s">
        <v>193</v>
      </c>
      <c r="B1069">
        <v>100</v>
      </c>
    </row>
    <row r="1071" spans="1:7">
      <c r="A1071" s="3" t="s">
        <v>19</v>
      </c>
      <c r="B1071">
        <v>12.704634033785368</v>
      </c>
    </row>
    <row r="1072" spans="1:7">
      <c r="A1072" t="s">
        <v>20</v>
      </c>
      <c r="B1072">
        <v>117.72596093810151</v>
      </c>
    </row>
    <row r="1073" spans="1:7">
      <c r="A1073" t="s">
        <v>23</v>
      </c>
      <c r="B1073">
        <v>10.850159489062891</v>
      </c>
    </row>
    <row r="1074" spans="1:7">
      <c r="A1074" t="s">
        <v>24</v>
      </c>
      <c r="B1074">
        <v>7.6722213516719364</v>
      </c>
    </row>
    <row r="1075" spans="1:7">
      <c r="A1075" t="s">
        <v>21</v>
      </c>
      <c r="B1075">
        <v>1.6559264196694174</v>
      </c>
    </row>
    <row r="1076" spans="1:7">
      <c r="A1076" s="3" t="s">
        <v>22</v>
      </c>
      <c r="B1076">
        <f>TDIST(ABS(B1075),1,1)</f>
        <v>0.17293013262461152</v>
      </c>
    </row>
    <row r="1078" spans="1:7">
      <c r="A1078" s="2" t="s">
        <v>1805</v>
      </c>
    </row>
    <row r="1079" spans="1:7">
      <c r="A1079" s="3" t="s">
        <v>7</v>
      </c>
      <c r="B1079" s="3" t="s">
        <v>8</v>
      </c>
      <c r="C1079" s="3" t="s">
        <v>9</v>
      </c>
      <c r="D1079" s="3" t="s">
        <v>10</v>
      </c>
      <c r="E1079" s="3" t="s">
        <v>11</v>
      </c>
      <c r="F1079" s="3" t="s">
        <v>12</v>
      </c>
      <c r="G1079" s="3" t="s">
        <v>13</v>
      </c>
    </row>
    <row r="1080" spans="1:7">
      <c r="A1080" t="s">
        <v>657</v>
      </c>
      <c r="B1080">
        <v>327.43384985105268</v>
      </c>
      <c r="C1080">
        <v>305.92734225621416</v>
      </c>
      <c r="D1080">
        <v>316.86156167483966</v>
      </c>
    </row>
    <row r="1081" spans="1:7">
      <c r="A1081" t="s">
        <v>659</v>
      </c>
      <c r="B1081">
        <v>323.53088022367569</v>
      </c>
      <c r="C1081">
        <v>303.29836977126251</v>
      </c>
      <c r="D1081">
        <v>316.58291457286435</v>
      </c>
    </row>
    <row r="1083" spans="1:7">
      <c r="A1083" s="3" t="s">
        <v>18</v>
      </c>
      <c r="B1083">
        <v>2</v>
      </c>
    </row>
    <row r="1084" spans="1:7">
      <c r="A1084" s="3" t="s">
        <v>191</v>
      </c>
      <c r="B1084">
        <v>0</v>
      </c>
    </row>
    <row r="1085" spans="1:7">
      <c r="A1085" s="3" t="s">
        <v>192</v>
      </c>
      <c r="B1085">
        <v>2</v>
      </c>
    </row>
    <row r="1086" spans="1:7">
      <c r="A1086" s="6" t="s">
        <v>193</v>
      </c>
      <c r="B1086">
        <v>0</v>
      </c>
    </row>
    <row r="1088" spans="1:7">
      <c r="A1088" s="3" t="s">
        <v>19</v>
      </c>
      <c r="B1088">
        <v>-12.109382110113671</v>
      </c>
    </row>
    <row r="1089" spans="1:7">
      <c r="A1089" t="s">
        <v>20</v>
      </c>
      <c r="B1089">
        <v>2.7620147029314319</v>
      </c>
    </row>
    <row r="1090" spans="1:7">
      <c r="A1090" t="s">
        <v>23</v>
      </c>
      <c r="B1090">
        <v>1.661931016297437</v>
      </c>
    </row>
    <row r="1091" spans="1:7">
      <c r="A1091" t="s">
        <v>24</v>
      </c>
      <c r="B1091">
        <v>1.1751626914881683</v>
      </c>
    </row>
    <row r="1092" spans="1:7">
      <c r="A1092" t="s">
        <v>21</v>
      </c>
      <c r="B1092">
        <v>-10.304430354897452</v>
      </c>
    </row>
    <row r="1093" spans="1:7">
      <c r="A1093" s="3" t="s">
        <v>22</v>
      </c>
      <c r="B1093">
        <f>TDIST(ABS(B1092),1,1)</f>
        <v>3.0794155382609628E-2</v>
      </c>
    </row>
    <row r="1095" spans="1:7">
      <c r="A1095" s="2" t="s">
        <v>1806</v>
      </c>
    </row>
    <row r="1096" spans="1:7">
      <c r="A1096" s="3" t="s">
        <v>7</v>
      </c>
      <c r="B1096" s="3" t="s">
        <v>8</v>
      </c>
      <c r="C1096" s="3" t="s">
        <v>9</v>
      </c>
      <c r="D1096" s="3" t="s">
        <v>10</v>
      </c>
      <c r="E1096" s="3" t="s">
        <v>11</v>
      </c>
      <c r="F1096" s="3" t="s">
        <v>12</v>
      </c>
      <c r="G1096" s="3" t="s">
        <v>13</v>
      </c>
    </row>
    <row r="1097" spans="1:7">
      <c r="A1097" t="s">
        <v>658</v>
      </c>
      <c r="B1097">
        <v>320.74340527577937</v>
      </c>
      <c r="C1097">
        <v>301.46966461499812</v>
      </c>
      <c r="D1097">
        <v>318.74525676701239</v>
      </c>
    </row>
    <row r="1098" spans="1:7">
      <c r="A1098" t="s">
        <v>660</v>
      </c>
      <c r="B1098">
        <v>329.2471115362348</v>
      </c>
      <c r="C1098">
        <v>316.26506024096386</v>
      </c>
      <c r="D1098">
        <v>332.53012048192772</v>
      </c>
    </row>
    <row r="1100" spans="1:7">
      <c r="A1100" s="3" t="s">
        <v>18</v>
      </c>
      <c r="B1100">
        <v>2</v>
      </c>
    </row>
    <row r="1101" spans="1:7">
      <c r="A1101" s="3" t="s">
        <v>191</v>
      </c>
      <c r="B1101">
        <v>0</v>
      </c>
    </row>
    <row r="1102" spans="1:7">
      <c r="A1102" s="3" t="s">
        <v>192</v>
      </c>
      <c r="B1102">
        <v>2</v>
      </c>
    </row>
    <row r="1103" spans="1:7">
      <c r="A1103" s="6" t="s">
        <v>193</v>
      </c>
      <c r="B1103">
        <v>0</v>
      </c>
    </row>
    <row r="1105" spans="1:7">
      <c r="A1105" s="3" t="s">
        <v>19</v>
      </c>
      <c r="B1105">
        <v>-16.770326196489066</v>
      </c>
    </row>
    <row r="1106" spans="1:7">
      <c r="A1106" t="s">
        <v>20</v>
      </c>
      <c r="B1106">
        <v>0.51058737162559376</v>
      </c>
    </row>
    <row r="1107" spans="1:7">
      <c r="A1107" t="s">
        <v>23</v>
      </c>
      <c r="B1107">
        <v>0.71455396690914375</v>
      </c>
    </row>
    <row r="1108" spans="1:7">
      <c r="A1108" t="s">
        <v>24</v>
      </c>
      <c r="B1108">
        <v>0.50526595552520348</v>
      </c>
    </row>
    <row r="1109" spans="1:7">
      <c r="A1109" t="s">
        <v>21</v>
      </c>
      <c r="B1109">
        <v>-33.191086818934778</v>
      </c>
    </row>
    <row r="1110" spans="1:7">
      <c r="A1110" s="3" t="s">
        <v>22</v>
      </c>
      <c r="B1110">
        <f>TDIST(ABS(B1109),1,1)</f>
        <v>9.5873216524030927E-3</v>
      </c>
    </row>
    <row r="1112" spans="1:7">
      <c r="A1112" s="2" t="s">
        <v>1807</v>
      </c>
    </row>
    <row r="1113" spans="1:7">
      <c r="A1113" s="3" t="s">
        <v>7</v>
      </c>
      <c r="B1113" s="3" t="s">
        <v>8</v>
      </c>
      <c r="C1113" s="3" t="s">
        <v>9</v>
      </c>
      <c r="D1113" s="3" t="s">
        <v>10</v>
      </c>
      <c r="E1113" s="3" t="s">
        <v>11</v>
      </c>
      <c r="F1113" s="3" t="s">
        <v>12</v>
      </c>
      <c r="G1113" s="3" t="s">
        <v>13</v>
      </c>
    </row>
    <row r="1114" spans="1:7">
      <c r="A1114" t="s">
        <v>661</v>
      </c>
      <c r="B1114">
        <v>348.55584075993772</v>
      </c>
      <c r="C1114">
        <v>316.0667251975417</v>
      </c>
      <c r="D1114">
        <v>321.9904866447128</v>
      </c>
    </row>
    <row r="1115" spans="1:7">
      <c r="A1115" t="s">
        <v>662</v>
      </c>
      <c r="B1115">
        <v>337.1540814043114</v>
      </c>
      <c r="C1115">
        <v>346.25517500940913</v>
      </c>
      <c r="D1115">
        <v>311.91979205347201</v>
      </c>
    </row>
    <row r="1117" spans="1:7">
      <c r="A1117" s="3" t="s">
        <v>18</v>
      </c>
      <c r="B1117">
        <v>2</v>
      </c>
    </row>
    <row r="1118" spans="1:7">
      <c r="A1118" s="3" t="s">
        <v>191</v>
      </c>
      <c r="B1118">
        <v>1</v>
      </c>
    </row>
    <row r="1119" spans="1:7">
      <c r="A1119" s="3" t="s">
        <v>192</v>
      </c>
      <c r="B1119">
        <v>1</v>
      </c>
    </row>
    <row r="1120" spans="1:7">
      <c r="A1120" s="6" t="s">
        <v>193</v>
      </c>
      <c r="B1120">
        <v>50</v>
      </c>
    </row>
    <row r="1122" spans="1:7">
      <c r="A1122" s="3" t="s">
        <v>19</v>
      </c>
      <c r="B1122">
        <v>14.205810754383009</v>
      </c>
    </row>
    <row r="1123" spans="1:7">
      <c r="A1123" t="s">
        <v>20</v>
      </c>
      <c r="B1123">
        <v>810.39935403516006</v>
      </c>
    </row>
    <row r="1124" spans="1:7">
      <c r="A1124" t="s">
        <v>23</v>
      </c>
      <c r="B1124">
        <v>28.467514012206266</v>
      </c>
    </row>
    <row r="1125" spans="1:7">
      <c r="A1125" t="s">
        <v>24</v>
      </c>
      <c r="B1125">
        <v>20.129572201554112</v>
      </c>
    </row>
    <row r="1126" spans="1:7">
      <c r="A1126" t="s">
        <v>21</v>
      </c>
      <c r="B1126">
        <v>0.7057184629729113</v>
      </c>
    </row>
    <row r="1127" spans="1:7">
      <c r="A1127" s="3" t="s">
        <v>22</v>
      </c>
      <c r="B1127">
        <f>TDIST(ABS(B1126),1,1)</f>
        <v>0.30438152717911304</v>
      </c>
    </row>
    <row r="1129" spans="1:7">
      <c r="A1129" s="2" t="s">
        <v>1808</v>
      </c>
    </row>
    <row r="1130" spans="1:7">
      <c r="A1130" s="3" t="s">
        <v>7</v>
      </c>
      <c r="B1130" s="3" t="s">
        <v>8</v>
      </c>
      <c r="C1130" s="3" t="s">
        <v>9</v>
      </c>
      <c r="D1130" s="3" t="s">
        <v>10</v>
      </c>
      <c r="E1130" s="3" t="s">
        <v>11</v>
      </c>
      <c r="F1130" s="3" t="s">
        <v>12</v>
      </c>
      <c r="G1130" s="3" t="s">
        <v>13</v>
      </c>
    </row>
    <row r="1131" spans="1:7">
      <c r="A1131" t="s">
        <v>663</v>
      </c>
      <c r="B1131">
        <v>374.53782352353352</v>
      </c>
      <c r="C1131" t="e">
        <f>NA()</f>
        <v>#N/A</v>
      </c>
      <c r="D1131" t="e">
        <f>NA()</f>
        <v>#N/A</v>
      </c>
      <c r="F1131" t="s">
        <v>17</v>
      </c>
      <c r="G1131" t="s">
        <v>17</v>
      </c>
    </row>
    <row r="1132" spans="1:7">
      <c r="A1132" t="s">
        <v>664</v>
      </c>
      <c r="B1132">
        <v>358.32483141314356</v>
      </c>
      <c r="C1132">
        <v>331.99195171026156</v>
      </c>
      <c r="D1132">
        <v>316.98113207547169</v>
      </c>
    </row>
    <row r="1134" spans="1:7">
      <c r="A1134" s="3" t="s">
        <v>18</v>
      </c>
      <c r="B1134">
        <v>1</v>
      </c>
    </row>
    <row r="1135" spans="1:7">
      <c r="A1135" s="3" t="s">
        <v>191</v>
      </c>
      <c r="B1135">
        <v>1</v>
      </c>
    </row>
    <row r="1136" spans="1:7">
      <c r="A1136" s="3" t="s">
        <v>192</v>
      </c>
      <c r="B1136">
        <v>0</v>
      </c>
    </row>
    <row r="1137" spans="1:7">
      <c r="A1137" s="6" t="s">
        <v>193</v>
      </c>
      <c r="B1137">
        <v>100</v>
      </c>
    </row>
    <row r="1139" spans="1:7">
      <c r="A1139" s="3" t="s">
        <v>19</v>
      </c>
      <c r="B1139">
        <v>15.010819634789868</v>
      </c>
    </row>
    <row r="1140" spans="1:7">
      <c r="A1140" t="s">
        <v>41</v>
      </c>
    </row>
    <row r="1142" spans="1:7">
      <c r="A1142" s="2" t="s">
        <v>1809</v>
      </c>
    </row>
    <row r="1143" spans="1:7">
      <c r="A1143" s="3" t="s">
        <v>7</v>
      </c>
      <c r="B1143" s="3" t="s">
        <v>8</v>
      </c>
      <c r="C1143" s="3" t="s">
        <v>9</v>
      </c>
      <c r="D1143" s="3" t="s">
        <v>10</v>
      </c>
      <c r="E1143" s="3" t="s">
        <v>11</v>
      </c>
      <c r="F1143" s="3" t="s">
        <v>12</v>
      </c>
      <c r="G1143" s="3" t="s">
        <v>13</v>
      </c>
    </row>
    <row r="1144" spans="1:7">
      <c r="A1144" t="s">
        <v>665</v>
      </c>
      <c r="B1144">
        <v>370.56563982827441</v>
      </c>
      <c r="C1144">
        <v>425.96348884381337</v>
      </c>
      <c r="D1144">
        <v>352.50917992656059</v>
      </c>
    </row>
    <row r="1145" spans="1:7">
      <c r="A1145" t="s">
        <v>668</v>
      </c>
      <c r="B1145">
        <v>319.74259715449199</v>
      </c>
      <c r="C1145">
        <v>302.38125236235351</v>
      </c>
      <c r="D1145">
        <v>302.80090840272521</v>
      </c>
    </row>
    <row r="1147" spans="1:7">
      <c r="A1147" s="3" t="s">
        <v>18</v>
      </c>
      <c r="B1147">
        <v>2</v>
      </c>
    </row>
    <row r="1148" spans="1:7">
      <c r="A1148" s="3" t="s">
        <v>191</v>
      </c>
      <c r="B1148">
        <v>1</v>
      </c>
    </row>
    <row r="1149" spans="1:7">
      <c r="A1149" s="3" t="s">
        <v>192</v>
      </c>
      <c r="B1149">
        <v>1</v>
      </c>
    </row>
    <row r="1150" spans="1:7">
      <c r="A1150" s="6" t="s">
        <v>193</v>
      </c>
      <c r="B1150">
        <v>50</v>
      </c>
    </row>
    <row r="1152" spans="1:7">
      <c r="A1152" s="3" t="s">
        <v>19</v>
      </c>
      <c r="B1152">
        <v>36.517326438440534</v>
      </c>
    </row>
    <row r="1153" spans="1:7">
      <c r="A1153" t="s">
        <v>20</v>
      </c>
      <c r="B1153">
        <v>2728.6813492801648</v>
      </c>
    </row>
    <row r="1154" spans="1:7">
      <c r="A1154" t="s">
        <v>23</v>
      </c>
      <c r="B1154">
        <v>52.23678157467365</v>
      </c>
    </row>
    <row r="1155" spans="1:7">
      <c r="A1155" t="s">
        <v>24</v>
      </c>
      <c r="B1155">
        <v>36.93698247881224</v>
      </c>
    </row>
    <row r="1156" spans="1:7">
      <c r="A1156" t="s">
        <v>21</v>
      </c>
      <c r="B1156">
        <v>0.9886385943786169</v>
      </c>
    </row>
    <row r="1157" spans="1:7">
      <c r="A1157" s="3" t="s">
        <v>22</v>
      </c>
      <c r="B1157">
        <f>TDIST(ABS(B1156),1,1)</f>
        <v>0.25181853500693324</v>
      </c>
    </row>
    <row r="1159" spans="1:7">
      <c r="A1159" s="2" t="s">
        <v>1810</v>
      </c>
    </row>
    <row r="1160" spans="1:7">
      <c r="A1160" s="3" t="s">
        <v>7</v>
      </c>
      <c r="B1160" s="3" t="s">
        <v>8</v>
      </c>
      <c r="C1160" s="3" t="s">
        <v>9</v>
      </c>
      <c r="D1160" s="3" t="s">
        <v>10</v>
      </c>
      <c r="E1160" s="3" t="s">
        <v>11</v>
      </c>
      <c r="F1160" s="3" t="s">
        <v>12</v>
      </c>
      <c r="G1160" s="3" t="s">
        <v>13</v>
      </c>
    </row>
    <row r="1161" spans="1:7">
      <c r="A1161" t="s">
        <v>666</v>
      </c>
      <c r="B1161">
        <v>346.99831107016735</v>
      </c>
      <c r="C1161">
        <v>321.2646608873024</v>
      </c>
      <c r="D1161">
        <v>313.7840866641763</v>
      </c>
    </row>
    <row r="1162" spans="1:7">
      <c r="A1162" t="s">
        <v>667</v>
      </c>
      <c r="B1162">
        <v>337.61577532118315</v>
      </c>
      <c r="C1162">
        <v>304.76190476190476</v>
      </c>
      <c r="D1162">
        <v>306.044376434583</v>
      </c>
    </row>
    <row r="1164" spans="1:7">
      <c r="A1164" s="3" t="s">
        <v>18</v>
      </c>
      <c r="B1164">
        <v>2</v>
      </c>
    </row>
    <row r="1165" spans="1:7">
      <c r="A1165" s="3" t="s">
        <v>191</v>
      </c>
      <c r="B1165">
        <v>1</v>
      </c>
    </row>
    <row r="1166" spans="1:7">
      <c r="A1166" s="3" t="s">
        <v>192</v>
      </c>
      <c r="B1166">
        <v>1</v>
      </c>
    </row>
    <row r="1167" spans="1:7">
      <c r="A1167" s="6" t="s">
        <v>193</v>
      </c>
      <c r="B1167">
        <v>50</v>
      </c>
    </row>
    <row r="1169" spans="1:7">
      <c r="A1169" s="3" t="s">
        <v>19</v>
      </c>
      <c r="B1169">
        <v>3.0990512752239283</v>
      </c>
    </row>
    <row r="1170" spans="1:7">
      <c r="A1170" t="s">
        <v>20</v>
      </c>
      <c r="B1170">
        <v>38.395486685986633</v>
      </c>
    </row>
    <row r="1171" spans="1:7">
      <c r="A1171" t="s">
        <v>23</v>
      </c>
      <c r="B1171">
        <v>6.1964091767721916</v>
      </c>
    </row>
    <row r="1172" spans="1:7">
      <c r="A1172" t="s">
        <v>24</v>
      </c>
      <c r="B1172">
        <v>4.3815229479021696</v>
      </c>
    </row>
    <row r="1173" spans="1:7">
      <c r="A1173" t="s">
        <v>21</v>
      </c>
      <c r="B1173">
        <v>0.70730002149314863</v>
      </c>
    </row>
    <row r="1174" spans="1:7">
      <c r="A1174" s="3" t="s">
        <v>22</v>
      </c>
      <c r="B1174">
        <f>TDIST(ABS(B1173),1,1)</f>
        <v>0.30404572092167675</v>
      </c>
    </row>
    <row r="1176" spans="1:7">
      <c r="A1176" s="2" t="s">
        <v>140</v>
      </c>
    </row>
    <row r="1177" spans="1:7">
      <c r="A1177" s="3" t="s">
        <v>7</v>
      </c>
      <c r="B1177" s="3" t="s">
        <v>8</v>
      </c>
      <c r="C1177" s="3" t="s">
        <v>9</v>
      </c>
      <c r="D1177" s="3" t="s">
        <v>10</v>
      </c>
      <c r="E1177" s="3" t="s">
        <v>11</v>
      </c>
      <c r="F1177" s="3" t="s">
        <v>12</v>
      </c>
      <c r="G1177" s="3" t="s">
        <v>13</v>
      </c>
    </row>
    <row r="1178" spans="1:7">
      <c r="A1178" t="s">
        <v>669</v>
      </c>
      <c r="B1178">
        <v>312.17169443193757</v>
      </c>
      <c r="C1178">
        <v>296.02700597247468</v>
      </c>
      <c r="D1178">
        <v>306.16462218602203</v>
      </c>
    </row>
    <row r="1179" spans="1:7">
      <c r="A1179" t="s">
        <v>670</v>
      </c>
      <c r="B1179">
        <v>316.82986020120995</v>
      </c>
      <c r="C1179">
        <v>302.6100113478754</v>
      </c>
      <c r="D1179">
        <v>297.84065524944157</v>
      </c>
    </row>
    <row r="1181" spans="1:7">
      <c r="A1181" s="3" t="s">
        <v>18</v>
      </c>
      <c r="B1181">
        <v>2</v>
      </c>
    </row>
    <row r="1182" spans="1:7">
      <c r="A1182" s="3" t="s">
        <v>191</v>
      </c>
      <c r="B1182">
        <v>1</v>
      </c>
    </row>
    <row r="1183" spans="1:7">
      <c r="A1183" s="3" t="s">
        <v>192</v>
      </c>
      <c r="B1183">
        <v>1</v>
      </c>
    </row>
    <row r="1184" spans="1:7">
      <c r="A1184" s="6" t="s">
        <v>193</v>
      </c>
      <c r="B1184">
        <v>50</v>
      </c>
    </row>
    <row r="1186" spans="1:7">
      <c r="A1186" s="3" t="s">
        <v>19</v>
      </c>
      <c r="B1186">
        <v>-2.6841300575567573</v>
      </c>
    </row>
    <row r="1187" spans="1:7">
      <c r="A1187" t="s">
        <v>20</v>
      </c>
      <c r="B1187">
        <v>111.10891175508674</v>
      </c>
    </row>
    <row r="1188" spans="1:7">
      <c r="A1188" t="s">
        <v>23</v>
      </c>
      <c r="B1188">
        <v>10.540821208761997</v>
      </c>
    </row>
    <row r="1189" spans="1:7">
      <c r="A1189" t="s">
        <v>24</v>
      </c>
      <c r="B1189">
        <v>7.4534861559905892</v>
      </c>
    </row>
    <row r="1190" spans="1:7">
      <c r="A1190" t="s">
        <v>21</v>
      </c>
      <c r="B1190">
        <v>-0.36011740028515943</v>
      </c>
    </row>
    <row r="1191" spans="1:7">
      <c r="A1191" s="3" t="s">
        <v>22</v>
      </c>
      <c r="B1191">
        <f>TDIST(ABS(B1190),1,1)</f>
        <v>0.38997316151551242</v>
      </c>
    </row>
    <row r="1193" spans="1:7">
      <c r="A1193" s="2" t="s">
        <v>1811</v>
      </c>
    </row>
    <row r="1194" spans="1:7">
      <c r="A1194" s="3" t="s">
        <v>7</v>
      </c>
      <c r="B1194" s="3" t="s">
        <v>8</v>
      </c>
      <c r="C1194" s="3" t="s">
        <v>9</v>
      </c>
      <c r="D1194" s="3" t="s">
        <v>10</v>
      </c>
      <c r="E1194" s="3" t="s">
        <v>11</v>
      </c>
      <c r="F1194" s="3" t="s">
        <v>12</v>
      </c>
      <c r="G1194" s="3" t="s">
        <v>13</v>
      </c>
    </row>
    <row r="1195" spans="1:7">
      <c r="A1195" t="s">
        <v>671</v>
      </c>
      <c r="B1195" t="e">
        <f>NA()</f>
        <v>#N/A</v>
      </c>
      <c r="C1195">
        <v>300.94043887147336</v>
      </c>
      <c r="D1195">
        <v>294.15369530579727</v>
      </c>
      <c r="E1195" t="s">
        <v>61</v>
      </c>
    </row>
    <row r="1196" spans="1:7">
      <c r="A1196" t="s">
        <v>672</v>
      </c>
      <c r="B1196">
        <v>352.4357783178225</v>
      </c>
      <c r="C1196">
        <v>299.92501874531371</v>
      </c>
      <c r="D1196">
        <v>295.53010712966386</v>
      </c>
    </row>
    <row r="1198" spans="1:7">
      <c r="A1198" s="3" t="s">
        <v>18</v>
      </c>
      <c r="B1198">
        <v>2</v>
      </c>
    </row>
    <row r="1199" spans="1:7">
      <c r="A1199" s="3" t="s">
        <v>191</v>
      </c>
      <c r="B1199">
        <v>2</v>
      </c>
    </row>
    <row r="1200" spans="1:7">
      <c r="A1200" s="3" t="s">
        <v>192</v>
      </c>
      <c r="B1200">
        <v>0</v>
      </c>
    </row>
    <row r="1201" spans="1:7">
      <c r="A1201" s="6" t="s">
        <v>193</v>
      </c>
      <c r="B1201">
        <v>100</v>
      </c>
    </row>
    <row r="1203" spans="1:7">
      <c r="A1203" s="3" t="s">
        <v>19</v>
      </c>
      <c r="B1203">
        <v>5.5908275906629683</v>
      </c>
    </row>
    <row r="1204" spans="1:7">
      <c r="A1204" t="s">
        <v>20</v>
      </c>
      <c r="B1204">
        <v>2.8604300385831727</v>
      </c>
    </row>
    <row r="1205" spans="1:7">
      <c r="A1205" t="s">
        <v>23</v>
      </c>
      <c r="B1205">
        <v>1.6912805913222007</v>
      </c>
    </row>
    <row r="1206" spans="1:7">
      <c r="A1206" t="s">
        <v>24</v>
      </c>
      <c r="B1206">
        <v>1.1959159750131221</v>
      </c>
    </row>
    <row r="1207" spans="1:7">
      <c r="A1207" t="s">
        <v>21</v>
      </c>
      <c r="B1207">
        <v>4.6749334463916856</v>
      </c>
    </row>
    <row r="1208" spans="1:7">
      <c r="A1208" s="3" t="s">
        <v>22</v>
      </c>
      <c r="B1208">
        <f>TDIST(ABS(B1207),1,1)</f>
        <v>6.7077765419347013E-2</v>
      </c>
    </row>
    <row r="1210" spans="1:7">
      <c r="A1210" s="2" t="s">
        <v>1812</v>
      </c>
    </row>
    <row r="1211" spans="1:7">
      <c r="A1211" s="3" t="s">
        <v>7</v>
      </c>
      <c r="B1211" s="3" t="s">
        <v>8</v>
      </c>
      <c r="C1211" s="3" t="s">
        <v>9</v>
      </c>
      <c r="D1211" s="3" t="s">
        <v>10</v>
      </c>
      <c r="E1211" s="3" t="s">
        <v>11</v>
      </c>
      <c r="F1211" s="3" t="s">
        <v>12</v>
      </c>
      <c r="G1211" s="3" t="s">
        <v>13</v>
      </c>
    </row>
    <row r="1212" spans="1:7">
      <c r="A1212" t="s">
        <v>673</v>
      </c>
      <c r="B1212">
        <v>337.66299022686735</v>
      </c>
      <c r="C1212">
        <v>322.69893656032269</v>
      </c>
      <c r="D1212">
        <v>299.32651534048392</v>
      </c>
    </row>
    <row r="1213" spans="1:7">
      <c r="A1213" t="s">
        <v>676</v>
      </c>
      <c r="B1213" t="e">
        <f>NA()</f>
        <v>#N/A</v>
      </c>
      <c r="C1213">
        <v>321.79424670892246</v>
      </c>
      <c r="D1213">
        <v>308.28516377649322</v>
      </c>
      <c r="E1213" t="s">
        <v>43</v>
      </c>
    </row>
    <row r="1215" spans="1:7">
      <c r="A1215" s="3" t="s">
        <v>18</v>
      </c>
      <c r="B1215">
        <v>2</v>
      </c>
    </row>
    <row r="1216" spans="1:7">
      <c r="A1216" s="3" t="s">
        <v>191</v>
      </c>
      <c r="B1216">
        <v>2</v>
      </c>
    </row>
    <row r="1217" spans="1:7">
      <c r="A1217" s="3" t="s">
        <v>192</v>
      </c>
      <c r="B1217">
        <v>0</v>
      </c>
    </row>
    <row r="1218" spans="1:7">
      <c r="A1218" s="6" t="s">
        <v>193</v>
      </c>
      <c r="B1218">
        <v>100</v>
      </c>
    </row>
    <row r="1220" spans="1:7">
      <c r="A1220" s="3" t="s">
        <v>19</v>
      </c>
      <c r="B1220">
        <v>18.440752076134004</v>
      </c>
    </row>
    <row r="1221" spans="1:7">
      <c r="A1221" t="s">
        <v>20</v>
      </c>
      <c r="B1221">
        <v>48.642721085939414</v>
      </c>
    </row>
    <row r="1222" spans="1:7">
      <c r="A1222" t="s">
        <v>23</v>
      </c>
      <c r="B1222">
        <v>6.9744333881641891</v>
      </c>
    </row>
    <row r="1223" spans="1:7">
      <c r="A1223" t="s">
        <v>24</v>
      </c>
      <c r="B1223">
        <v>4.9316691437047666</v>
      </c>
    </row>
    <row r="1224" spans="1:7">
      <c r="A1224" t="s">
        <v>21</v>
      </c>
      <c r="B1224">
        <v>3.7392516689148674</v>
      </c>
    </row>
    <row r="1225" spans="1:7">
      <c r="A1225" s="3" t="s">
        <v>22</v>
      </c>
      <c r="B1225">
        <f>TDIST(ABS(B1224),1,1)</f>
        <v>8.3180067294679749E-2</v>
      </c>
    </row>
    <row r="1227" spans="1:7">
      <c r="A1227" s="2" t="s">
        <v>1813</v>
      </c>
    </row>
    <row r="1228" spans="1:7">
      <c r="A1228" s="3" t="s">
        <v>7</v>
      </c>
      <c r="B1228" s="3" t="s">
        <v>8</v>
      </c>
      <c r="C1228" s="3" t="s">
        <v>9</v>
      </c>
      <c r="D1228" s="3" t="s">
        <v>10</v>
      </c>
      <c r="E1228" s="3" t="s">
        <v>11</v>
      </c>
      <c r="F1228" s="3" t="s">
        <v>12</v>
      </c>
      <c r="G1228" s="3" t="s">
        <v>13</v>
      </c>
    </row>
    <row r="1229" spans="1:7">
      <c r="A1229" t="s">
        <v>674</v>
      </c>
      <c r="B1229">
        <v>336.16464468472424</v>
      </c>
      <c r="C1229">
        <v>316.70227472665579</v>
      </c>
      <c r="D1229">
        <v>316.49232252195986</v>
      </c>
    </row>
    <row r="1230" spans="1:7">
      <c r="A1230" t="s">
        <v>675</v>
      </c>
      <c r="B1230">
        <v>318.78101348303341</v>
      </c>
      <c r="C1230">
        <v>312.96572280178833</v>
      </c>
      <c r="D1230">
        <v>319.43212067435667</v>
      </c>
    </row>
    <row r="1232" spans="1:7">
      <c r="A1232" s="3" t="s">
        <v>18</v>
      </c>
      <c r="B1232">
        <v>2</v>
      </c>
    </row>
    <row r="1233" spans="1:7">
      <c r="A1233" s="3" t="s">
        <v>191</v>
      </c>
      <c r="B1233">
        <v>1</v>
      </c>
    </row>
    <row r="1234" spans="1:7">
      <c r="A1234" s="3" t="s">
        <v>192</v>
      </c>
      <c r="B1234">
        <v>1</v>
      </c>
    </row>
    <row r="1235" spans="1:7">
      <c r="A1235" s="6" t="s">
        <v>193</v>
      </c>
      <c r="B1235">
        <v>50</v>
      </c>
    </row>
    <row r="1237" spans="1:7">
      <c r="A1237" s="3" t="s">
        <v>19</v>
      </c>
      <c r="B1237">
        <v>-3.1282228339362064</v>
      </c>
    </row>
    <row r="1238" spans="1:7">
      <c r="A1238" t="s">
        <v>20</v>
      </c>
      <c r="B1238">
        <v>22.286825177093245</v>
      </c>
    </row>
    <row r="1239" spans="1:7">
      <c r="A1239" t="s">
        <v>23</v>
      </c>
      <c r="B1239">
        <v>4.7208924132088885</v>
      </c>
    </row>
    <row r="1240" spans="1:7">
      <c r="A1240" t="s">
        <v>24</v>
      </c>
      <c r="B1240">
        <v>3.3381750386321301</v>
      </c>
    </row>
    <row r="1241" spans="1:7">
      <c r="A1241" t="s">
        <v>21</v>
      </c>
      <c r="B1241">
        <v>-0.9371056933006261</v>
      </c>
    </row>
    <row r="1242" spans="1:7">
      <c r="A1242" s="3" t="s">
        <v>22</v>
      </c>
      <c r="B1242">
        <f>TDIST(ABS(B1241),1,1)</f>
        <v>0.26033131516248964</v>
      </c>
    </row>
    <row r="1244" spans="1:7">
      <c r="A1244" s="2" t="s">
        <v>1814</v>
      </c>
    </row>
    <row r="1245" spans="1:7">
      <c r="A1245" s="3" t="s">
        <v>7</v>
      </c>
      <c r="B1245" s="3" t="s">
        <v>8</v>
      </c>
      <c r="C1245" s="3" t="s">
        <v>9</v>
      </c>
      <c r="D1245" s="3" t="s">
        <v>10</v>
      </c>
      <c r="E1245" s="3" t="s">
        <v>11</v>
      </c>
      <c r="F1245" s="3" t="s">
        <v>12</v>
      </c>
      <c r="G1245" s="3" t="s">
        <v>13</v>
      </c>
    </row>
    <row r="1246" spans="1:7">
      <c r="A1246" t="s">
        <v>677</v>
      </c>
      <c r="B1246">
        <v>358.94728904305856</v>
      </c>
      <c r="C1246">
        <v>337.61467889908255</v>
      </c>
      <c r="D1246">
        <v>314.80324797001879</v>
      </c>
    </row>
    <row r="1247" spans="1:7">
      <c r="A1247" t="s">
        <v>680</v>
      </c>
      <c r="B1247">
        <v>358.62824695539558</v>
      </c>
      <c r="C1247">
        <v>347.86992689689941</v>
      </c>
      <c r="D1247">
        <v>323.52941176470586</v>
      </c>
    </row>
    <row r="1249" spans="1:7">
      <c r="A1249" s="3" t="s">
        <v>18</v>
      </c>
      <c r="B1249">
        <v>2</v>
      </c>
    </row>
    <row r="1250" spans="1:7">
      <c r="A1250" s="3" t="s">
        <v>191</v>
      </c>
      <c r="B1250">
        <v>2</v>
      </c>
    </row>
    <row r="1251" spans="1:7">
      <c r="A1251" s="3" t="s">
        <v>192</v>
      </c>
      <c r="B1251">
        <v>0</v>
      </c>
    </row>
    <row r="1252" spans="1:7">
      <c r="A1252" s="6" t="s">
        <v>193</v>
      </c>
      <c r="B1252">
        <v>100</v>
      </c>
    </row>
    <row r="1254" spans="1:7">
      <c r="A1254" s="3" t="s">
        <v>19</v>
      </c>
      <c r="B1254">
        <v>23.57597303062866</v>
      </c>
    </row>
    <row r="1255" spans="1:7">
      <c r="A1255" t="s">
        <v>20</v>
      </c>
      <c r="B1255">
        <v>1.1690492501305454</v>
      </c>
    </row>
    <row r="1256" spans="1:7">
      <c r="A1256" t="s">
        <v>23</v>
      </c>
      <c r="B1256">
        <v>1.0812258090383089</v>
      </c>
    </row>
    <row r="1257" spans="1:7">
      <c r="A1257" t="s">
        <v>24</v>
      </c>
      <c r="B1257">
        <v>0.76454210156489921</v>
      </c>
    </row>
    <row r="1258" spans="1:7">
      <c r="A1258" t="s">
        <v>21</v>
      </c>
      <c r="B1258">
        <v>30.836723029866238</v>
      </c>
    </row>
    <row r="1259" spans="1:7">
      <c r="A1259" s="3" t="s">
        <v>22</v>
      </c>
      <c r="B1259">
        <f>TDIST(ABS(B1258),1,1)</f>
        <v>1.0318812884653207E-2</v>
      </c>
    </row>
    <row r="1261" spans="1:7">
      <c r="A1261" s="2" t="s">
        <v>1815</v>
      </c>
    </row>
    <row r="1262" spans="1:7">
      <c r="A1262" s="3" t="s">
        <v>7</v>
      </c>
      <c r="B1262" s="3" t="s">
        <v>8</v>
      </c>
      <c r="C1262" s="3" t="s">
        <v>9</v>
      </c>
      <c r="D1262" s="3" t="s">
        <v>10</v>
      </c>
      <c r="E1262" s="3" t="s">
        <v>11</v>
      </c>
      <c r="F1262" s="3" t="s">
        <v>12</v>
      </c>
      <c r="G1262" s="3" t="s">
        <v>13</v>
      </c>
    </row>
    <row r="1263" spans="1:7">
      <c r="A1263" t="s">
        <v>678</v>
      </c>
      <c r="B1263" t="e">
        <f>NA()</f>
        <v>#N/A</v>
      </c>
      <c r="C1263">
        <v>319.51312286040314</v>
      </c>
      <c r="D1263">
        <v>308.14380044020544</v>
      </c>
      <c r="E1263" t="s">
        <v>15</v>
      </c>
    </row>
    <row r="1264" spans="1:7">
      <c r="A1264" t="s">
        <v>679</v>
      </c>
      <c r="B1264">
        <v>392.92141571685664</v>
      </c>
      <c r="C1264">
        <v>330.82706766917289</v>
      </c>
      <c r="D1264">
        <v>317.50031498047122</v>
      </c>
    </row>
    <row r="1266" spans="1:7">
      <c r="A1266" s="3" t="s">
        <v>18</v>
      </c>
      <c r="B1266">
        <v>2</v>
      </c>
    </row>
    <row r="1267" spans="1:7">
      <c r="A1267" s="3" t="s">
        <v>191</v>
      </c>
      <c r="B1267">
        <v>2</v>
      </c>
    </row>
    <row r="1268" spans="1:7">
      <c r="A1268" s="3" t="s">
        <v>192</v>
      </c>
      <c r="B1268">
        <v>0</v>
      </c>
    </row>
    <row r="1269" spans="1:7">
      <c r="A1269" s="6" t="s">
        <v>193</v>
      </c>
      <c r="B1269">
        <v>100</v>
      </c>
    </row>
    <row r="1271" spans="1:7">
      <c r="A1271" s="3" t="s">
        <v>19</v>
      </c>
      <c r="B1271">
        <v>12.348037554449689</v>
      </c>
    </row>
    <row r="1272" spans="1:7">
      <c r="A1272" t="s">
        <v>20</v>
      </c>
      <c r="B1272">
        <v>1.9157666280277614</v>
      </c>
    </row>
    <row r="1273" spans="1:7">
      <c r="A1273" t="s">
        <v>23</v>
      </c>
      <c r="B1273">
        <v>1.3841122165589614</v>
      </c>
    </row>
    <row r="1274" spans="1:7">
      <c r="A1274" t="s">
        <v>24</v>
      </c>
      <c r="B1274">
        <v>0.97871513425198486</v>
      </c>
    </row>
    <row r="1275" spans="1:7">
      <c r="A1275" t="s">
        <v>21</v>
      </c>
      <c r="B1275">
        <v>12.616579760858691</v>
      </c>
    </row>
    <row r="1276" spans="1:7">
      <c r="A1276" s="3" t="s">
        <v>22</v>
      </c>
      <c r="B1276">
        <f>TDIST(ABS(B1275),1,1)</f>
        <v>2.5176856464191783E-2</v>
      </c>
    </row>
    <row r="1278" spans="1:7">
      <c r="A1278" s="2" t="s">
        <v>1816</v>
      </c>
    </row>
    <row r="1279" spans="1:7">
      <c r="A1279" s="3" t="s">
        <v>7</v>
      </c>
      <c r="B1279" s="3" t="s">
        <v>8</v>
      </c>
      <c r="C1279" s="3" t="s">
        <v>9</v>
      </c>
      <c r="D1279" s="3" t="s">
        <v>10</v>
      </c>
      <c r="E1279" s="3" t="s">
        <v>11</v>
      </c>
      <c r="F1279" s="3" t="s">
        <v>12</v>
      </c>
      <c r="G1279" s="3" t="s">
        <v>13</v>
      </c>
    </row>
    <row r="1280" spans="1:7">
      <c r="A1280" t="s">
        <v>681</v>
      </c>
      <c r="B1280">
        <v>351.41195760191715</v>
      </c>
      <c r="C1280">
        <v>319.79695431472084</v>
      </c>
      <c r="D1280">
        <v>315.82905125955631</v>
      </c>
    </row>
    <row r="1281" spans="1:7">
      <c r="A1281" t="s">
        <v>682</v>
      </c>
      <c r="B1281">
        <v>360.08405159108332</v>
      </c>
      <c r="C1281">
        <v>329.13601795287371</v>
      </c>
      <c r="D1281">
        <v>323.80718753832946</v>
      </c>
    </row>
    <row r="1283" spans="1:7">
      <c r="A1283" s="3" t="s">
        <v>18</v>
      </c>
      <c r="B1283">
        <v>2</v>
      </c>
    </row>
    <row r="1284" spans="1:7">
      <c r="A1284" s="3" t="s">
        <v>191</v>
      </c>
      <c r="B1284">
        <v>2</v>
      </c>
    </row>
    <row r="1285" spans="1:7">
      <c r="A1285" s="3" t="s">
        <v>192</v>
      </c>
      <c r="B1285">
        <v>0</v>
      </c>
    </row>
    <row r="1286" spans="1:7">
      <c r="A1286" s="6" t="s">
        <v>193</v>
      </c>
      <c r="B1286">
        <v>100</v>
      </c>
    </row>
    <row r="1288" spans="1:7">
      <c r="A1288" s="3" t="s">
        <v>19</v>
      </c>
      <c r="B1288">
        <v>4.6483667348543918</v>
      </c>
    </row>
    <row r="1289" spans="1:7">
      <c r="A1289" t="s">
        <v>20</v>
      </c>
      <c r="B1289">
        <v>0.92606163875414205</v>
      </c>
    </row>
    <row r="1290" spans="1:7">
      <c r="A1290" t="s">
        <v>23</v>
      </c>
      <c r="B1290">
        <v>0.9623209645197085</v>
      </c>
    </row>
    <row r="1291" spans="1:7">
      <c r="A1291" t="s">
        <v>24</v>
      </c>
      <c r="B1291">
        <v>0.68046367968986488</v>
      </c>
    </row>
    <row r="1292" spans="1:7">
      <c r="A1292" t="s">
        <v>21</v>
      </c>
      <c r="B1292">
        <v>6.8311753787843301</v>
      </c>
    </row>
    <row r="1293" spans="1:7">
      <c r="A1293" s="3" t="s">
        <v>22</v>
      </c>
      <c r="B1293">
        <f>TDIST(ABS(B1292),1,1)</f>
        <v>4.6268019453375324E-2</v>
      </c>
    </row>
    <row r="1295" spans="1:7">
      <c r="A1295" s="2" t="s">
        <v>1817</v>
      </c>
    </row>
    <row r="1296" spans="1:7">
      <c r="A1296" s="3" t="s">
        <v>7</v>
      </c>
      <c r="B1296" s="3" t="s">
        <v>8</v>
      </c>
      <c r="C1296" s="3" t="s">
        <v>9</v>
      </c>
      <c r="D1296" s="3" t="s">
        <v>10</v>
      </c>
      <c r="E1296" s="3" t="s">
        <v>11</v>
      </c>
      <c r="F1296" s="3" t="s">
        <v>12</v>
      </c>
      <c r="G1296" s="3" t="s">
        <v>13</v>
      </c>
    </row>
    <row r="1297" spans="1:4">
      <c r="A1297" t="s">
        <v>683</v>
      </c>
      <c r="B1297">
        <v>425.07546087260209</v>
      </c>
      <c r="C1297">
        <v>320.69970845481055</v>
      </c>
      <c r="D1297">
        <v>319.43212067435667</v>
      </c>
    </row>
    <row r="1298" spans="1:4">
      <c r="A1298" t="s">
        <v>684</v>
      </c>
      <c r="B1298">
        <v>397.06431148152751</v>
      </c>
      <c r="C1298">
        <v>319.71580817051512</v>
      </c>
      <c r="D1298">
        <v>301.88679245283015</v>
      </c>
    </row>
    <row r="1300" spans="1:4">
      <c r="A1300" s="3" t="s">
        <v>18</v>
      </c>
      <c r="B1300">
        <v>2</v>
      </c>
    </row>
    <row r="1301" spans="1:4">
      <c r="A1301" s="3" t="s">
        <v>191</v>
      </c>
      <c r="B1301">
        <v>2</v>
      </c>
    </row>
    <row r="1302" spans="1:4">
      <c r="A1302" s="3" t="s">
        <v>192</v>
      </c>
      <c r="B1302">
        <v>0</v>
      </c>
    </row>
    <row r="1303" spans="1:4">
      <c r="A1303" s="6" t="s">
        <v>193</v>
      </c>
      <c r="B1303">
        <v>100</v>
      </c>
    </row>
    <row r="1305" spans="1:4">
      <c r="A1305" s="3" t="s">
        <v>19</v>
      </c>
      <c r="B1305">
        <v>9.5483017490694237</v>
      </c>
    </row>
    <row r="1306" spans="1:4">
      <c r="A1306" t="s">
        <v>20</v>
      </c>
      <c r="B1306">
        <v>137.14044766004918</v>
      </c>
    </row>
    <row r="1307" spans="1:4">
      <c r="A1307" t="s">
        <v>23</v>
      </c>
      <c r="B1307">
        <v>11.710698000548438</v>
      </c>
    </row>
    <row r="1308" spans="1:4">
      <c r="A1308" t="s">
        <v>24</v>
      </c>
      <c r="B1308">
        <v>8.2807139686155438</v>
      </c>
    </row>
    <row r="1309" spans="1:4">
      <c r="A1309" t="s">
        <v>21</v>
      </c>
      <c r="B1309">
        <v>1.1530771121014591</v>
      </c>
    </row>
    <row r="1310" spans="1:4">
      <c r="A1310" s="3" t="s">
        <v>22</v>
      </c>
      <c r="B1310">
        <f>TDIST(ABS(B1309),1,1)</f>
        <v>0.22740716822567869</v>
      </c>
    </row>
    <row r="1312" spans="1:4">
      <c r="A1312" s="2" t="s">
        <v>1818</v>
      </c>
    </row>
    <row r="1313" spans="1:7">
      <c r="A1313" s="3" t="s">
        <v>7</v>
      </c>
      <c r="B1313" s="3" t="s">
        <v>8</v>
      </c>
      <c r="C1313" s="3" t="s">
        <v>9</v>
      </c>
      <c r="D1313" s="3" t="s">
        <v>10</v>
      </c>
      <c r="E1313" s="3" t="s">
        <v>11</v>
      </c>
      <c r="F1313" s="3" t="s">
        <v>12</v>
      </c>
      <c r="G1313" s="3" t="s">
        <v>13</v>
      </c>
    </row>
    <row r="1314" spans="1:7">
      <c r="A1314" t="s">
        <v>685</v>
      </c>
      <c r="B1314">
        <v>407.80285997034832</v>
      </c>
      <c r="C1314">
        <v>337.90254101226623</v>
      </c>
      <c r="D1314">
        <v>315.86863875658059</v>
      </c>
    </row>
    <row r="1315" spans="1:7">
      <c r="A1315" t="s">
        <v>686</v>
      </c>
      <c r="B1315">
        <v>372.83830427195824</v>
      </c>
      <c r="C1315">
        <v>343.16911477966983</v>
      </c>
      <c r="D1315">
        <v>328.07257362992419</v>
      </c>
    </row>
    <row r="1317" spans="1:7">
      <c r="A1317" s="3" t="s">
        <v>18</v>
      </c>
      <c r="B1317">
        <v>2</v>
      </c>
    </row>
    <row r="1318" spans="1:7">
      <c r="A1318" s="3" t="s">
        <v>191</v>
      </c>
      <c r="B1318">
        <v>2</v>
      </c>
    </row>
    <row r="1319" spans="1:7">
      <c r="A1319" s="3" t="s">
        <v>192</v>
      </c>
      <c r="B1319">
        <v>0</v>
      </c>
    </row>
    <row r="1320" spans="1:7">
      <c r="A1320" s="6" t="s">
        <v>193</v>
      </c>
      <c r="B1320">
        <v>100</v>
      </c>
    </row>
    <row r="1322" spans="1:7">
      <c r="A1322" s="3" t="s">
        <v>19</v>
      </c>
      <c r="B1322">
        <v>18.565221702715633</v>
      </c>
    </row>
    <row r="1323" spans="1:7">
      <c r="A1323" t="s">
        <v>20</v>
      </c>
      <c r="B1323">
        <v>24.063489557104525</v>
      </c>
    </row>
    <row r="1324" spans="1:7">
      <c r="A1324" t="s">
        <v>23</v>
      </c>
      <c r="B1324">
        <v>4.90545508154998</v>
      </c>
    </row>
    <row r="1325" spans="1:7">
      <c r="A1325" t="s">
        <v>24</v>
      </c>
      <c r="B1325">
        <v>3.4686805529699996</v>
      </c>
    </row>
    <row r="1326" spans="1:7">
      <c r="A1326" t="s">
        <v>21</v>
      </c>
      <c r="B1326">
        <v>5.3522431423728172</v>
      </c>
    </row>
    <row r="1327" spans="1:7">
      <c r="A1327" s="3" t="s">
        <v>22</v>
      </c>
      <c r="B1327">
        <f>TDIST(ABS(B1326),1,1)</f>
        <v>5.8794357733251722E-2</v>
      </c>
    </row>
    <row r="1329" spans="1:7">
      <c r="A1329" s="2" t="s">
        <v>1819</v>
      </c>
    </row>
    <row r="1330" spans="1:7">
      <c r="A1330" s="3" t="s">
        <v>7</v>
      </c>
      <c r="B1330" s="3" t="s">
        <v>8</v>
      </c>
      <c r="C1330" s="3" t="s">
        <v>9</v>
      </c>
      <c r="D1330" s="3" t="s">
        <v>10</v>
      </c>
      <c r="E1330" s="3" t="s">
        <v>11</v>
      </c>
      <c r="F1330" s="3" t="s">
        <v>12</v>
      </c>
      <c r="G1330" s="3" t="s">
        <v>13</v>
      </c>
    </row>
    <row r="1331" spans="1:7">
      <c r="A1331" t="s">
        <v>687</v>
      </c>
      <c r="B1331">
        <v>408.19389209874691</v>
      </c>
      <c r="C1331">
        <v>316.86156167483966</v>
      </c>
      <c r="D1331">
        <v>311.30327362569489</v>
      </c>
    </row>
    <row r="1332" spans="1:7">
      <c r="A1332" t="s">
        <v>688</v>
      </c>
      <c r="B1332">
        <v>414.44082788779292</v>
      </c>
      <c r="C1332">
        <v>315.15757878939468</v>
      </c>
      <c r="D1332">
        <v>313.00459570239724</v>
      </c>
    </row>
    <row r="1334" spans="1:7">
      <c r="A1334" s="3" t="s">
        <v>18</v>
      </c>
      <c r="B1334">
        <v>2</v>
      </c>
    </row>
    <row r="1335" spans="1:7">
      <c r="A1335" s="3" t="s">
        <v>191</v>
      </c>
      <c r="B1335">
        <v>2</v>
      </c>
    </row>
    <row r="1336" spans="1:7">
      <c r="A1336" s="3" t="s">
        <v>192</v>
      </c>
      <c r="B1336">
        <v>0</v>
      </c>
    </row>
    <row r="1337" spans="1:7">
      <c r="A1337" s="6" t="s">
        <v>193</v>
      </c>
      <c r="B1337">
        <v>100</v>
      </c>
    </row>
    <row r="1339" spans="1:7">
      <c r="A1339" s="3" t="s">
        <v>19</v>
      </c>
      <c r="B1339">
        <v>3.8556355680711079</v>
      </c>
    </row>
    <row r="1340" spans="1:7">
      <c r="A1340" t="s">
        <v>20</v>
      </c>
      <c r="B1340">
        <v>5.7980509426126501</v>
      </c>
    </row>
    <row r="1341" spans="1:7">
      <c r="A1341" t="s">
        <v>23</v>
      </c>
      <c r="B1341">
        <v>2.407914230742584</v>
      </c>
    </row>
    <row r="1342" spans="1:7">
      <c r="A1342" t="s">
        <v>24</v>
      </c>
      <c r="B1342">
        <v>1.7026524810736703</v>
      </c>
    </row>
    <row r="1343" spans="1:7">
      <c r="A1343" t="s">
        <v>21</v>
      </c>
      <c r="B1343">
        <v>2.2644876807977838</v>
      </c>
    </row>
    <row r="1344" spans="1:7">
      <c r="A1344" s="3" t="s">
        <v>22</v>
      </c>
      <c r="B1344">
        <f>TDIST(ABS(B1343),1,1)</f>
        <v>0.13236833663199399</v>
      </c>
    </row>
    <row r="1346" spans="1:7">
      <c r="A1346" s="2" t="s">
        <v>136</v>
      </c>
    </row>
    <row r="1347" spans="1:7">
      <c r="A1347" s="3" t="s">
        <v>7</v>
      </c>
      <c r="B1347" s="3" t="s">
        <v>8</v>
      </c>
      <c r="C1347" s="3" t="s">
        <v>9</v>
      </c>
      <c r="D1347" s="3" t="s">
        <v>10</v>
      </c>
      <c r="E1347" s="3" t="s">
        <v>11</v>
      </c>
      <c r="F1347" s="3" t="s">
        <v>12</v>
      </c>
      <c r="G1347" s="3" t="s">
        <v>13</v>
      </c>
    </row>
    <row r="1348" spans="1:7">
      <c r="A1348" t="s">
        <v>689</v>
      </c>
      <c r="B1348" t="e">
        <f>NA()</f>
        <v>#N/A</v>
      </c>
      <c r="C1348">
        <v>507.75885745674276</v>
      </c>
      <c r="D1348">
        <v>506.53786759769031</v>
      </c>
      <c r="E1348" t="s">
        <v>14</v>
      </c>
    </row>
    <row r="1349" spans="1:7">
      <c r="A1349" t="s">
        <v>690</v>
      </c>
      <c r="B1349">
        <v>434.54303786157999</v>
      </c>
      <c r="C1349">
        <v>459.00803264057117</v>
      </c>
      <c r="D1349">
        <v>398.36567926455564</v>
      </c>
    </row>
    <row r="1351" spans="1:7">
      <c r="A1351" s="3" t="s">
        <v>18</v>
      </c>
      <c r="B1351">
        <v>2</v>
      </c>
    </row>
    <row r="1352" spans="1:7">
      <c r="A1352" s="3" t="s">
        <v>191</v>
      </c>
      <c r="B1352">
        <v>2</v>
      </c>
    </row>
    <row r="1353" spans="1:7">
      <c r="A1353" s="3" t="s">
        <v>192</v>
      </c>
      <c r="B1353">
        <v>0</v>
      </c>
    </row>
    <row r="1354" spans="1:7">
      <c r="A1354" s="6" t="s">
        <v>193</v>
      </c>
      <c r="B1354">
        <v>100</v>
      </c>
    </row>
    <row r="1356" spans="1:7">
      <c r="A1356" s="3" t="s">
        <v>19</v>
      </c>
      <c r="B1356">
        <v>30.931671617533993</v>
      </c>
    </row>
    <row r="1357" spans="1:7">
      <c r="A1357" t="s">
        <v>20</v>
      </c>
      <c r="B1357">
        <v>1765.4492211075358</v>
      </c>
    </row>
    <row r="1358" spans="1:7">
      <c r="A1358" t="s">
        <v>23</v>
      </c>
      <c r="B1358">
        <v>42.017249090195513</v>
      </c>
    </row>
    <row r="1359" spans="1:7">
      <c r="A1359" t="s">
        <v>24</v>
      </c>
      <c r="B1359">
        <v>29.710681758481542</v>
      </c>
    </row>
    <row r="1360" spans="1:7">
      <c r="A1360" t="s">
        <v>21</v>
      </c>
      <c r="B1360">
        <v>1.0410959892801481</v>
      </c>
    </row>
    <row r="1361" spans="1:7">
      <c r="A1361" s="3" t="s">
        <v>22</v>
      </c>
      <c r="B1361">
        <f>TDIST(ABS(B1360),1,1)</f>
        <v>0.24359192666496418</v>
      </c>
    </row>
    <row r="1363" spans="1:7">
      <c r="A1363" s="2" t="s">
        <v>1820</v>
      </c>
    </row>
    <row r="1364" spans="1:7">
      <c r="A1364" s="3" t="s">
        <v>7</v>
      </c>
      <c r="B1364" s="3" t="s">
        <v>8</v>
      </c>
      <c r="C1364" s="3" t="s">
        <v>9</v>
      </c>
      <c r="D1364" s="3" t="s">
        <v>10</v>
      </c>
      <c r="E1364" s="3" t="s">
        <v>11</v>
      </c>
      <c r="F1364" s="3" t="s">
        <v>12</v>
      </c>
      <c r="G1364" s="3" t="s">
        <v>13</v>
      </c>
    </row>
    <row r="1365" spans="1:7">
      <c r="A1365" t="s">
        <v>691</v>
      </c>
      <c r="B1365">
        <v>414.36256724634052</v>
      </c>
      <c r="C1365">
        <v>384.61538461538464</v>
      </c>
      <c r="D1365">
        <v>382.36043843996941</v>
      </c>
    </row>
    <row r="1366" spans="1:7">
      <c r="A1366" t="s">
        <v>692</v>
      </c>
      <c r="B1366">
        <v>440.65848967050533</v>
      </c>
      <c r="C1366">
        <v>397.985505466159</v>
      </c>
      <c r="D1366">
        <v>384.61538461538464</v>
      </c>
    </row>
    <row r="1368" spans="1:7">
      <c r="A1368" s="3" t="s">
        <v>18</v>
      </c>
      <c r="B1368">
        <v>2</v>
      </c>
    </row>
    <row r="1369" spans="1:7">
      <c r="A1369" s="3" t="s">
        <v>191</v>
      </c>
      <c r="B1369">
        <v>2</v>
      </c>
    </row>
    <row r="1370" spans="1:7">
      <c r="A1370" s="3" t="s">
        <v>192</v>
      </c>
      <c r="B1370">
        <v>0</v>
      </c>
    </row>
    <row r="1371" spans="1:7">
      <c r="A1371" s="6" t="s">
        <v>193</v>
      </c>
      <c r="B1371">
        <v>100</v>
      </c>
    </row>
    <row r="1373" spans="1:7">
      <c r="A1373" s="3" t="s">
        <v>19</v>
      </c>
      <c r="B1373">
        <v>7.8125335130947917</v>
      </c>
    </row>
    <row r="1374" spans="1:7">
      <c r="A1374" t="s">
        <v>20</v>
      </c>
      <c r="B1374">
        <v>61.77355403187245</v>
      </c>
    </row>
    <row r="1375" spans="1:7">
      <c r="A1375" t="s">
        <v>23</v>
      </c>
      <c r="B1375">
        <v>7.8596153870194216</v>
      </c>
    </row>
    <row r="1376" spans="1:7">
      <c r="A1376" t="s">
        <v>24</v>
      </c>
      <c r="B1376">
        <v>5.5575873376795641</v>
      </c>
    </row>
    <row r="1377" spans="1:7">
      <c r="A1377" t="s">
        <v>21</v>
      </c>
      <c r="B1377">
        <v>1.4057419233211232</v>
      </c>
    </row>
    <row r="1378" spans="1:7">
      <c r="A1378" s="3" t="s">
        <v>22</v>
      </c>
      <c r="B1378">
        <f>TDIST(ABS(B1377),1,1)</f>
        <v>0.1968157464337752</v>
      </c>
    </row>
    <row r="1380" spans="1:7">
      <c r="A1380" s="2" t="s">
        <v>137</v>
      </c>
    </row>
    <row r="1381" spans="1:7">
      <c r="A1381" s="3" t="s">
        <v>7</v>
      </c>
      <c r="B1381" s="3" t="s">
        <v>8</v>
      </c>
      <c r="C1381" s="3" t="s">
        <v>9</v>
      </c>
      <c r="D1381" s="3" t="s">
        <v>10</v>
      </c>
      <c r="E1381" s="3" t="s">
        <v>11</v>
      </c>
      <c r="F1381" s="3" t="s">
        <v>12</v>
      </c>
      <c r="G1381" s="3" t="s">
        <v>13</v>
      </c>
    </row>
    <row r="1382" spans="1:7">
      <c r="A1382" t="s">
        <v>693</v>
      </c>
      <c r="B1382">
        <v>393.48201546894944</v>
      </c>
      <c r="C1382">
        <v>382.11692777990066</v>
      </c>
      <c r="D1382">
        <v>341.34988363072154</v>
      </c>
    </row>
    <row r="1383" spans="1:7">
      <c r="A1383" t="s">
        <v>694</v>
      </c>
      <c r="B1383">
        <v>387.88243253401487</v>
      </c>
      <c r="C1383">
        <v>348.66093986862046</v>
      </c>
      <c r="D1383">
        <v>329.42350885949588</v>
      </c>
    </row>
    <row r="1385" spans="1:7">
      <c r="A1385" s="3" t="s">
        <v>18</v>
      </c>
      <c r="B1385">
        <v>2</v>
      </c>
    </row>
    <row r="1386" spans="1:7">
      <c r="A1386" s="3" t="s">
        <v>191</v>
      </c>
      <c r="B1386">
        <v>2</v>
      </c>
    </row>
    <row r="1387" spans="1:7">
      <c r="A1387" s="3" t="s">
        <v>192</v>
      </c>
      <c r="B1387">
        <v>0</v>
      </c>
    </row>
    <row r="1388" spans="1:7">
      <c r="A1388" s="6" t="s">
        <v>193</v>
      </c>
      <c r="B1388">
        <v>100</v>
      </c>
    </row>
    <row r="1390" spans="1:7">
      <c r="A1390" s="3" t="s">
        <v>19</v>
      </c>
      <c r="B1390">
        <v>30.002237579151853</v>
      </c>
    </row>
    <row r="1391" spans="1:7">
      <c r="A1391" t="s">
        <v>20</v>
      </c>
      <c r="B1391">
        <v>231.76212098020477</v>
      </c>
    </row>
    <row r="1392" spans="1:7">
      <c r="A1392" t="s">
        <v>23</v>
      </c>
      <c r="B1392">
        <v>15.223735447655571</v>
      </c>
    </row>
    <row r="1393" spans="1:7">
      <c r="A1393" t="s">
        <v>24</v>
      </c>
      <c r="B1393">
        <v>10.764806570027275</v>
      </c>
    </row>
    <row r="1394" spans="1:7">
      <c r="A1394" t="s">
        <v>21</v>
      </c>
      <c r="B1394">
        <v>2.7870670396147985</v>
      </c>
    </row>
    <row r="1395" spans="1:7">
      <c r="A1395" s="3" t="s">
        <v>22</v>
      </c>
      <c r="B1395">
        <f>TDIST(ABS(B1394),1,1)</f>
        <v>0.10965551539632371</v>
      </c>
    </row>
    <row r="1397" spans="1:7">
      <c r="A1397" s="2" t="s">
        <v>1821</v>
      </c>
    </row>
    <row r="1398" spans="1:7">
      <c r="A1398" s="3" t="s">
        <v>7</v>
      </c>
      <c r="B1398" s="3" t="s">
        <v>8</v>
      </c>
      <c r="C1398" s="3" t="s">
        <v>9</v>
      </c>
      <c r="D1398" s="3" t="s">
        <v>10</v>
      </c>
      <c r="E1398" s="3" t="s">
        <v>11</v>
      </c>
      <c r="F1398" s="3" t="s">
        <v>12</v>
      </c>
      <c r="G1398" s="3" t="s">
        <v>13</v>
      </c>
    </row>
    <row r="1399" spans="1:7">
      <c r="A1399" t="s">
        <v>695</v>
      </c>
      <c r="B1399">
        <v>370.66516092603052</v>
      </c>
      <c r="C1399">
        <v>351.13386978785667</v>
      </c>
      <c r="D1399">
        <v>333.62820674838878</v>
      </c>
    </row>
    <row r="1400" spans="1:7">
      <c r="A1400" t="s">
        <v>696</v>
      </c>
      <c r="B1400">
        <v>385.89056462669828</v>
      </c>
      <c r="C1400">
        <v>357.71953794559687</v>
      </c>
      <c r="D1400">
        <v>334.17721518987344</v>
      </c>
    </row>
    <row r="1402" spans="1:7">
      <c r="A1402" s="3" t="s">
        <v>18</v>
      </c>
      <c r="B1402">
        <v>2</v>
      </c>
    </row>
    <row r="1403" spans="1:7">
      <c r="A1403" s="3" t="s">
        <v>191</v>
      </c>
      <c r="B1403">
        <v>2</v>
      </c>
    </row>
    <row r="1404" spans="1:7">
      <c r="A1404" s="3" t="s">
        <v>192</v>
      </c>
      <c r="B1404">
        <v>0</v>
      </c>
    </row>
    <row r="1405" spans="1:7">
      <c r="A1405" s="6" t="s">
        <v>193</v>
      </c>
      <c r="B1405">
        <v>100</v>
      </c>
    </row>
    <row r="1407" spans="1:7">
      <c r="A1407" s="3" t="s">
        <v>19</v>
      </c>
      <c r="B1407">
        <v>20.523992897595662</v>
      </c>
    </row>
    <row r="1408" spans="1:7">
      <c r="A1408" t="s">
        <v>20</v>
      </c>
      <c r="B1408">
        <v>18.22063026493122</v>
      </c>
    </row>
    <row r="1409" spans="1:7">
      <c r="A1409" t="s">
        <v>23</v>
      </c>
      <c r="B1409">
        <v>4.2685630210799532</v>
      </c>
    </row>
    <row r="1410" spans="1:7">
      <c r="A1410" t="s">
        <v>24</v>
      </c>
      <c r="B1410">
        <v>3.0183298581277711</v>
      </c>
    </row>
    <row r="1411" spans="1:7">
      <c r="A1411" t="s">
        <v>21</v>
      </c>
      <c r="B1411">
        <v>6.7997846035046727</v>
      </c>
    </row>
    <row r="1412" spans="1:7">
      <c r="A1412" s="3" t="s">
        <v>22</v>
      </c>
      <c r="B1412">
        <f>TDIST(ABS(B1411),1,1)</f>
        <v>4.6478596542981629E-2</v>
      </c>
    </row>
    <row r="1414" spans="1:7">
      <c r="A1414" s="2" t="s">
        <v>144</v>
      </c>
    </row>
    <row r="1415" spans="1:7">
      <c r="A1415" s="3" t="s">
        <v>7</v>
      </c>
      <c r="B1415" s="3" t="s">
        <v>8</v>
      </c>
      <c r="C1415" s="3" t="s">
        <v>9</v>
      </c>
      <c r="D1415" s="3" t="s">
        <v>10</v>
      </c>
      <c r="E1415" s="3" t="s">
        <v>11</v>
      </c>
      <c r="F1415" s="3" t="s">
        <v>12</v>
      </c>
      <c r="G1415" s="3" t="s">
        <v>13</v>
      </c>
    </row>
    <row r="1416" spans="1:7">
      <c r="A1416" t="s">
        <v>697</v>
      </c>
      <c r="B1416">
        <v>387.37802908153662</v>
      </c>
      <c r="C1416">
        <v>366.94965373829098</v>
      </c>
      <c r="D1416">
        <v>346.08150470219437</v>
      </c>
    </row>
    <row r="1417" spans="1:7">
      <c r="A1417" t="s">
        <v>698</v>
      </c>
      <c r="B1417">
        <v>383.50144811744735</v>
      </c>
      <c r="C1417">
        <v>364.14211657605262</v>
      </c>
      <c r="D1417">
        <v>330.86852989096377</v>
      </c>
    </row>
    <row r="1419" spans="1:7">
      <c r="A1419" s="3" t="s">
        <v>18</v>
      </c>
      <c r="B1419">
        <v>2</v>
      </c>
    </row>
    <row r="1420" spans="1:7">
      <c r="A1420" s="3" t="s">
        <v>191</v>
      </c>
      <c r="B1420">
        <v>2</v>
      </c>
    </row>
    <row r="1421" spans="1:7">
      <c r="A1421" s="3" t="s">
        <v>192</v>
      </c>
      <c r="B1421">
        <v>0</v>
      </c>
    </row>
    <row r="1422" spans="1:7">
      <c r="A1422" s="6" t="s">
        <v>193</v>
      </c>
      <c r="B1422">
        <v>100</v>
      </c>
    </row>
    <row r="1424" spans="1:7">
      <c r="A1424" s="3" t="s">
        <v>19</v>
      </c>
      <c r="B1424">
        <v>27.070867860592728</v>
      </c>
    </row>
    <row r="1425" spans="1:7">
      <c r="A1425" t="s">
        <v>20</v>
      </c>
      <c r="B1425">
        <v>76.94744163151698</v>
      </c>
    </row>
    <row r="1426" spans="1:7">
      <c r="A1426" t="s">
        <v>23</v>
      </c>
      <c r="B1426">
        <v>8.7719690851893102</v>
      </c>
    </row>
    <row r="1427" spans="1:7">
      <c r="A1427" t="s">
        <v>24</v>
      </c>
      <c r="B1427">
        <v>6.2027188244961167</v>
      </c>
    </row>
    <row r="1428" spans="1:7">
      <c r="A1428" t="s">
        <v>21</v>
      </c>
      <c r="B1428">
        <v>4.3643551524023589</v>
      </c>
    </row>
    <row r="1429" spans="1:7">
      <c r="A1429" s="3" t="s">
        <v>22</v>
      </c>
      <c r="B1429">
        <f>TDIST(ABS(B1428),1,1)</f>
        <v>7.1696411433981991E-2</v>
      </c>
    </row>
    <row r="1431" spans="1:7">
      <c r="A1431" s="2" t="s">
        <v>1822</v>
      </c>
    </row>
    <row r="1432" spans="1:7">
      <c r="A1432" s="3" t="s">
        <v>7</v>
      </c>
      <c r="B1432" s="3" t="s">
        <v>8</v>
      </c>
      <c r="C1432" s="3" t="s">
        <v>9</v>
      </c>
      <c r="D1432" s="3" t="s">
        <v>10</v>
      </c>
      <c r="E1432" s="3" t="s">
        <v>11</v>
      </c>
      <c r="F1432" s="3" t="s">
        <v>12</v>
      </c>
      <c r="G1432" s="3" t="s">
        <v>13</v>
      </c>
    </row>
    <row r="1433" spans="1:7">
      <c r="A1433" t="s">
        <v>699</v>
      </c>
      <c r="B1433">
        <v>386.02528615246501</v>
      </c>
      <c r="C1433">
        <v>355.81912527798369</v>
      </c>
      <c r="D1433">
        <v>348.74905231235789</v>
      </c>
    </row>
    <row r="1434" spans="1:7">
      <c r="A1434" t="s">
        <v>700</v>
      </c>
      <c r="B1434">
        <v>384.97205443745457</v>
      </c>
      <c r="C1434">
        <v>350.91994638723037</v>
      </c>
      <c r="D1434">
        <v>330.57851239669424</v>
      </c>
    </row>
    <row r="1436" spans="1:7">
      <c r="A1436" s="3" t="s">
        <v>18</v>
      </c>
      <c r="B1436">
        <v>2</v>
      </c>
    </row>
    <row r="1437" spans="1:7">
      <c r="A1437" s="3" t="s">
        <v>191</v>
      </c>
      <c r="B1437">
        <v>2</v>
      </c>
    </row>
    <row r="1438" spans="1:7">
      <c r="A1438" s="3" t="s">
        <v>192</v>
      </c>
      <c r="B1438">
        <v>0</v>
      </c>
    </row>
    <row r="1439" spans="1:7">
      <c r="A1439" s="6" t="s">
        <v>193</v>
      </c>
      <c r="B1439">
        <v>100</v>
      </c>
    </row>
    <row r="1441" spans="1:7">
      <c r="A1441" s="3" t="s">
        <v>19</v>
      </c>
      <c r="B1441">
        <v>13.705753478080965</v>
      </c>
    </row>
    <row r="1442" spans="1:7">
      <c r="A1442" t="s">
        <v>20</v>
      </c>
      <c r="B1442">
        <v>88.064511726754532</v>
      </c>
    </row>
    <row r="1443" spans="1:7">
      <c r="A1443" t="s">
        <v>23</v>
      </c>
      <c r="B1443">
        <v>9.3842693762889464</v>
      </c>
    </row>
    <row r="1444" spans="1:7">
      <c r="A1444" t="s">
        <v>24</v>
      </c>
      <c r="B1444">
        <v>6.635680512455167</v>
      </c>
    </row>
    <row r="1445" spans="1:7">
      <c r="A1445" t="s">
        <v>21</v>
      </c>
      <c r="B1445">
        <v>2.065463135597815</v>
      </c>
    </row>
    <row r="1446" spans="1:7">
      <c r="A1446" s="3" t="s">
        <v>22</v>
      </c>
      <c r="B1446">
        <f>TDIST(ABS(B1445),1,1)</f>
        <v>0.14352266806841482</v>
      </c>
    </row>
    <row r="1448" spans="1:7">
      <c r="A1448" s="2" t="s">
        <v>135</v>
      </c>
    </row>
    <row r="1449" spans="1:7">
      <c r="A1449" s="3" t="s">
        <v>7</v>
      </c>
      <c r="B1449" s="3" t="s">
        <v>8</v>
      </c>
      <c r="C1449" s="3" t="s">
        <v>9</v>
      </c>
      <c r="D1449" s="3" t="s">
        <v>10</v>
      </c>
      <c r="E1449" s="3" t="s">
        <v>11</v>
      </c>
      <c r="F1449" s="3" t="s">
        <v>12</v>
      </c>
      <c r="G1449" s="3" t="s">
        <v>13</v>
      </c>
    </row>
    <row r="1450" spans="1:7">
      <c r="A1450" t="s">
        <v>701</v>
      </c>
      <c r="B1450">
        <v>378.78598091038907</v>
      </c>
      <c r="C1450">
        <v>359.86505060602275</v>
      </c>
      <c r="D1450">
        <v>393.20388349514565</v>
      </c>
    </row>
    <row r="1451" spans="1:7">
      <c r="A1451" t="s">
        <v>703</v>
      </c>
      <c r="B1451">
        <v>349.06270200387848</v>
      </c>
      <c r="C1451">
        <v>347.86992689689941</v>
      </c>
      <c r="D1451">
        <v>335.19553072625695</v>
      </c>
    </row>
    <row r="1453" spans="1:7">
      <c r="A1453" s="3" t="s">
        <v>18</v>
      </c>
      <c r="B1453">
        <v>2</v>
      </c>
    </row>
    <row r="1454" spans="1:7">
      <c r="A1454" s="3" t="s">
        <v>191</v>
      </c>
      <c r="B1454">
        <v>1</v>
      </c>
    </row>
    <row r="1455" spans="1:7">
      <c r="A1455" s="3" t="s">
        <v>192</v>
      </c>
      <c r="B1455">
        <v>1</v>
      </c>
    </row>
    <row r="1456" spans="1:7">
      <c r="A1456" s="6" t="s">
        <v>193</v>
      </c>
      <c r="B1456">
        <v>50</v>
      </c>
    </row>
    <row r="1458" spans="1:7">
      <c r="A1458" s="3" t="s">
        <v>19</v>
      </c>
      <c r="B1458">
        <v>-10.332218359240215</v>
      </c>
    </row>
    <row r="1459" spans="1:7">
      <c r="A1459" t="s">
        <v>20</v>
      </c>
      <c r="B1459">
        <v>1058.6086242532178</v>
      </c>
    </row>
    <row r="1460" spans="1:7">
      <c r="A1460" t="s">
        <v>23</v>
      </c>
      <c r="B1460">
        <v>32.536266292449994</v>
      </c>
    </row>
    <row r="1461" spans="1:7">
      <c r="A1461" t="s">
        <v>24</v>
      </c>
      <c r="B1461">
        <v>23.006614529882683</v>
      </c>
    </row>
    <row r="1462" spans="1:7">
      <c r="A1462" t="s">
        <v>21</v>
      </c>
      <c r="B1462">
        <v>-0.44909772995153069</v>
      </c>
    </row>
    <row r="1463" spans="1:7">
      <c r="A1463" s="3" t="s">
        <v>22</v>
      </c>
      <c r="B1463">
        <f>TDIST(ABS(B1462),1,1)</f>
        <v>0.36564033253920591</v>
      </c>
    </row>
    <row r="1465" spans="1:7">
      <c r="A1465" s="2" t="s">
        <v>1823</v>
      </c>
    </row>
    <row r="1466" spans="1:7">
      <c r="A1466" s="3" t="s">
        <v>7</v>
      </c>
      <c r="B1466" s="3" t="s">
        <v>8</v>
      </c>
      <c r="C1466" s="3" t="s">
        <v>9</v>
      </c>
      <c r="D1466" s="3" t="s">
        <v>10</v>
      </c>
      <c r="E1466" s="3" t="s">
        <v>11</v>
      </c>
      <c r="F1466" s="3" t="s">
        <v>12</v>
      </c>
      <c r="G1466" s="3" t="s">
        <v>13</v>
      </c>
    </row>
    <row r="1467" spans="1:7">
      <c r="A1467" t="s">
        <v>702</v>
      </c>
      <c r="B1467">
        <v>367.0644870123358</v>
      </c>
      <c r="C1467">
        <v>337.77995349406439</v>
      </c>
      <c r="D1467">
        <v>318.02120141342755</v>
      </c>
    </row>
    <row r="1468" spans="1:7">
      <c r="A1468" t="s">
        <v>704</v>
      </c>
      <c r="B1468">
        <v>358.5568088444013</v>
      </c>
      <c r="C1468">
        <v>341.88034188034186</v>
      </c>
      <c r="D1468">
        <v>323.88663967611336</v>
      </c>
    </row>
    <row r="1470" spans="1:7">
      <c r="A1470" s="3" t="s">
        <v>18</v>
      </c>
      <c r="B1470">
        <v>2</v>
      </c>
    </row>
    <row r="1471" spans="1:7">
      <c r="A1471" s="3" t="s">
        <v>191</v>
      </c>
      <c r="B1471">
        <v>2</v>
      </c>
    </row>
    <row r="1472" spans="1:7">
      <c r="A1472" s="3" t="s">
        <v>192</v>
      </c>
      <c r="B1472">
        <v>0</v>
      </c>
    </row>
    <row r="1473" spans="1:7">
      <c r="A1473" s="6" t="s">
        <v>193</v>
      </c>
      <c r="B1473">
        <v>100</v>
      </c>
    </row>
    <row r="1475" spans="1:7">
      <c r="A1475" s="3" t="s">
        <v>19</v>
      </c>
      <c r="B1475">
        <v>18.876227142432668</v>
      </c>
    </row>
    <row r="1476" spans="1:7">
      <c r="A1476" t="s">
        <v>20</v>
      </c>
      <c r="B1476">
        <v>1.5577005331045497</v>
      </c>
    </row>
    <row r="1477" spans="1:7">
      <c r="A1477" t="s">
        <v>23</v>
      </c>
      <c r="B1477">
        <v>1.2480787367408155</v>
      </c>
    </row>
    <row r="1478" spans="1:7">
      <c r="A1478" t="s">
        <v>24</v>
      </c>
      <c r="B1478">
        <v>0.88252493820417044</v>
      </c>
    </row>
    <row r="1479" spans="1:7">
      <c r="A1479" t="s">
        <v>21</v>
      </c>
      <c r="B1479">
        <v>21.388888092888873</v>
      </c>
    </row>
    <row r="1480" spans="1:7">
      <c r="A1480" s="3" t="s">
        <v>22</v>
      </c>
      <c r="B1480">
        <f>TDIST(ABS(B1479),1,1)</f>
        <v>1.4871192033898955E-2</v>
      </c>
    </row>
    <row r="1482" spans="1:7">
      <c r="A1482" s="2" t="s">
        <v>139</v>
      </c>
    </row>
    <row r="1483" spans="1:7">
      <c r="A1483" s="3" t="s">
        <v>7</v>
      </c>
      <c r="B1483" s="3" t="s">
        <v>8</v>
      </c>
      <c r="C1483" s="3" t="s">
        <v>9</v>
      </c>
      <c r="D1483" s="3" t="s">
        <v>10</v>
      </c>
      <c r="E1483" s="3" t="s">
        <v>11</v>
      </c>
      <c r="F1483" s="3" t="s">
        <v>12</v>
      </c>
      <c r="G1483" s="3" t="s">
        <v>13</v>
      </c>
    </row>
    <row r="1484" spans="1:7">
      <c r="A1484" t="s">
        <v>705</v>
      </c>
      <c r="B1484">
        <v>336.37842572894505</v>
      </c>
      <c r="C1484">
        <v>332.71950542817433</v>
      </c>
      <c r="D1484">
        <v>317.34038534189648</v>
      </c>
    </row>
    <row r="1485" spans="1:7">
      <c r="A1485" t="s">
        <v>708</v>
      </c>
      <c r="B1485">
        <v>338.01974274603651</v>
      </c>
      <c r="C1485">
        <v>332.11724745250973</v>
      </c>
      <c r="D1485">
        <v>311.53418222277168</v>
      </c>
    </row>
    <row r="1487" spans="1:7">
      <c r="A1487" s="3" t="s">
        <v>18</v>
      </c>
      <c r="B1487">
        <v>2</v>
      </c>
    </row>
    <row r="1488" spans="1:7">
      <c r="A1488" s="3" t="s">
        <v>191</v>
      </c>
      <c r="B1488">
        <v>2</v>
      </c>
    </row>
    <row r="1489" spans="1:7">
      <c r="A1489" s="3" t="s">
        <v>192</v>
      </c>
      <c r="B1489">
        <v>0</v>
      </c>
    </row>
    <row r="1490" spans="1:7">
      <c r="A1490" s="6" t="s">
        <v>193</v>
      </c>
      <c r="B1490">
        <v>100</v>
      </c>
    </row>
    <row r="1492" spans="1:7">
      <c r="A1492" s="3" t="s">
        <v>19</v>
      </c>
      <c r="B1492">
        <v>17.981092658007952</v>
      </c>
    </row>
    <row r="1493" spans="1:7">
      <c r="A1493" t="s">
        <v>20</v>
      </c>
      <c r="B1493">
        <v>13.540522528071516</v>
      </c>
    </row>
    <row r="1494" spans="1:7">
      <c r="A1494" t="s">
        <v>23</v>
      </c>
      <c r="B1494">
        <v>3.6797448998635103</v>
      </c>
    </row>
    <row r="1495" spans="1:7">
      <c r="A1495" t="s">
        <v>24</v>
      </c>
      <c r="B1495">
        <v>2.6019725717301014</v>
      </c>
    </row>
    <row r="1496" spans="1:7">
      <c r="A1496" t="s">
        <v>21</v>
      </c>
      <c r="B1496">
        <v>6.9105619534075178</v>
      </c>
    </row>
    <row r="1497" spans="1:7">
      <c r="A1497" s="3" t="s">
        <v>22</v>
      </c>
      <c r="B1497">
        <f>TDIST(ABS(B1496),1,1)</f>
        <v>4.57438347489365E-2</v>
      </c>
    </row>
    <row r="1499" spans="1:7">
      <c r="A1499" s="2" t="s">
        <v>1824</v>
      </c>
    </row>
    <row r="1500" spans="1:7">
      <c r="A1500" s="3" t="s">
        <v>7</v>
      </c>
      <c r="B1500" s="3" t="s">
        <v>8</v>
      </c>
      <c r="C1500" s="3" t="s">
        <v>9</v>
      </c>
      <c r="D1500" s="3" t="s">
        <v>10</v>
      </c>
      <c r="E1500" s="3" t="s">
        <v>11</v>
      </c>
      <c r="F1500" s="3" t="s">
        <v>12</v>
      </c>
      <c r="G1500" s="3" t="s">
        <v>13</v>
      </c>
    </row>
    <row r="1501" spans="1:7">
      <c r="A1501" t="s">
        <v>706</v>
      </c>
      <c r="B1501">
        <v>338.20157964146415</v>
      </c>
      <c r="C1501">
        <v>329.95875515560556</v>
      </c>
      <c r="D1501">
        <v>319.10852222362922</v>
      </c>
    </row>
    <row r="1502" spans="1:7">
      <c r="A1502" t="s">
        <v>707</v>
      </c>
      <c r="B1502">
        <v>338.41970086115725</v>
      </c>
      <c r="C1502">
        <v>323.28415651058367</v>
      </c>
      <c r="D1502">
        <v>318.86625332152346</v>
      </c>
    </row>
    <row r="1504" spans="1:7">
      <c r="A1504" s="3" t="s">
        <v>18</v>
      </c>
      <c r="B1504">
        <v>2</v>
      </c>
    </row>
    <row r="1505" spans="1:7">
      <c r="A1505" s="3" t="s">
        <v>191</v>
      </c>
      <c r="B1505">
        <v>2</v>
      </c>
    </row>
    <row r="1506" spans="1:7">
      <c r="A1506" s="3" t="s">
        <v>192</v>
      </c>
      <c r="B1506">
        <v>0</v>
      </c>
    </row>
    <row r="1507" spans="1:7">
      <c r="A1507" s="6" t="s">
        <v>193</v>
      </c>
      <c r="B1507">
        <v>100</v>
      </c>
    </row>
    <row r="1509" spans="1:7">
      <c r="A1509" s="3" t="s">
        <v>19</v>
      </c>
      <c r="B1509">
        <v>7.634068060518274</v>
      </c>
    </row>
    <row r="1510" spans="1:7">
      <c r="A1510" t="s">
        <v>20</v>
      </c>
      <c r="B1510">
        <v>20.687432960801708</v>
      </c>
    </row>
    <row r="1511" spans="1:7">
      <c r="A1511" t="s">
        <v>23</v>
      </c>
      <c r="B1511">
        <v>4.5483439800439136</v>
      </c>
    </row>
    <row r="1512" spans="1:7">
      <c r="A1512" t="s">
        <v>24</v>
      </c>
      <c r="B1512">
        <v>3.2161648714580622</v>
      </c>
    </row>
    <row r="1513" spans="1:7">
      <c r="A1513" t="s">
        <v>21</v>
      </c>
      <c r="B1513">
        <v>2.3736556941676117</v>
      </c>
    </row>
    <row r="1514" spans="1:7">
      <c r="A1514" s="3" t="s">
        <v>22</v>
      </c>
      <c r="B1514">
        <f>TDIST(ABS(B1513),1,1)</f>
        <v>0.12691810287805155</v>
      </c>
    </row>
    <row r="1516" spans="1:7">
      <c r="A1516" s="2" t="s">
        <v>142</v>
      </c>
    </row>
    <row r="1517" spans="1:7">
      <c r="A1517" s="3" t="s">
        <v>7</v>
      </c>
      <c r="B1517" s="3" t="s">
        <v>8</v>
      </c>
      <c r="C1517" s="3" t="s">
        <v>9</v>
      </c>
      <c r="D1517" s="3" t="s">
        <v>10</v>
      </c>
      <c r="E1517" s="3" t="s">
        <v>11</v>
      </c>
      <c r="F1517" s="3" t="s">
        <v>12</v>
      </c>
      <c r="G1517" s="3" t="s">
        <v>13</v>
      </c>
    </row>
    <row r="1518" spans="1:7">
      <c r="A1518" t="s">
        <v>709</v>
      </c>
      <c r="B1518">
        <v>339.95186522262338</v>
      </c>
      <c r="C1518">
        <v>320.69970845481055</v>
      </c>
      <c r="D1518">
        <v>308.9598352214212</v>
      </c>
    </row>
    <row r="1519" spans="1:7">
      <c r="A1519" t="s">
        <v>710</v>
      </c>
      <c r="B1519">
        <v>331.36902618734433</v>
      </c>
      <c r="C1519">
        <v>328.03180914512922</v>
      </c>
      <c r="D1519">
        <v>332.2008305020762</v>
      </c>
    </row>
    <row r="1521" spans="1:7">
      <c r="A1521" s="3" t="s">
        <v>18</v>
      </c>
      <c r="B1521">
        <v>2</v>
      </c>
    </row>
    <row r="1522" spans="1:7">
      <c r="A1522" s="3" t="s">
        <v>191</v>
      </c>
      <c r="B1522">
        <v>1</v>
      </c>
    </row>
    <row r="1523" spans="1:7">
      <c r="A1523" s="3" t="s">
        <v>192</v>
      </c>
      <c r="B1523">
        <v>1</v>
      </c>
    </row>
    <row r="1524" spans="1:7">
      <c r="A1524" s="6" t="s">
        <v>193</v>
      </c>
      <c r="B1524">
        <v>50</v>
      </c>
    </row>
    <row r="1526" spans="1:7">
      <c r="A1526" s="3" t="s">
        <v>19</v>
      </c>
      <c r="B1526">
        <v>3.7854259382211808</v>
      </c>
    </row>
    <row r="1527" spans="1:7">
      <c r="A1527" t="s">
        <v>20</v>
      </c>
      <c r="B1527">
        <v>126.54646354321629</v>
      </c>
    </row>
    <row r="1528" spans="1:7">
      <c r="A1528" t="s">
        <v>23</v>
      </c>
      <c r="B1528">
        <v>11.249287246008802</v>
      </c>
    </row>
    <row r="1529" spans="1:7">
      <c r="A1529" t="s">
        <v>24</v>
      </c>
      <c r="B1529">
        <v>7.9544472951681655</v>
      </c>
    </row>
    <row r="1530" spans="1:7">
      <c r="A1530" t="s">
        <v>21</v>
      </c>
      <c r="B1530">
        <v>0.47588799042274033</v>
      </c>
    </row>
    <row r="1531" spans="1:7">
      <c r="A1531" s="3" t="s">
        <v>22</v>
      </c>
      <c r="B1531">
        <f>TDIST(ABS(B1530),1,1)</f>
        <v>0.35861546788709786</v>
      </c>
    </row>
    <row r="1533" spans="1:7">
      <c r="A1533" s="2" t="s">
        <v>1825</v>
      </c>
    </row>
    <row r="1534" spans="1:7">
      <c r="A1534" s="3" t="s">
        <v>7</v>
      </c>
      <c r="B1534" s="3" t="s">
        <v>8</v>
      </c>
      <c r="C1534" s="3" t="s">
        <v>9</v>
      </c>
      <c r="D1534" s="3" t="s">
        <v>10</v>
      </c>
      <c r="E1534" s="3" t="s">
        <v>11</v>
      </c>
      <c r="F1534" s="3" t="s">
        <v>12</v>
      </c>
      <c r="G1534" s="3" t="s">
        <v>13</v>
      </c>
    </row>
    <row r="1535" spans="1:7">
      <c r="A1535" t="s">
        <v>711</v>
      </c>
      <c r="B1535">
        <v>337.67147379528666</v>
      </c>
      <c r="C1535">
        <v>329.79387882573394</v>
      </c>
      <c r="D1535">
        <v>311.03431251542827</v>
      </c>
    </row>
    <row r="1536" spans="1:7">
      <c r="A1536" t="s">
        <v>712</v>
      </c>
      <c r="B1536">
        <v>381.84004810583281</v>
      </c>
      <c r="C1536">
        <v>318.82591093117406</v>
      </c>
      <c r="D1536">
        <v>336.00610920198545</v>
      </c>
    </row>
    <row r="1538" spans="1:2">
      <c r="A1538" s="3" t="s">
        <v>18</v>
      </c>
      <c r="B1538">
        <v>2</v>
      </c>
    </row>
    <row r="1539" spans="1:2">
      <c r="A1539" s="3" t="s">
        <v>191</v>
      </c>
      <c r="B1539">
        <v>1</v>
      </c>
    </row>
    <row r="1540" spans="1:2">
      <c r="A1540" s="3" t="s">
        <v>192</v>
      </c>
      <c r="B1540">
        <v>1</v>
      </c>
    </row>
    <row r="1541" spans="1:2">
      <c r="A1541" s="6" t="s">
        <v>193</v>
      </c>
      <c r="B1541">
        <v>50</v>
      </c>
    </row>
    <row r="1543" spans="1:2">
      <c r="A1543" s="3" t="s">
        <v>19</v>
      </c>
      <c r="B1543">
        <v>0.78968401974714197</v>
      </c>
    </row>
    <row r="1544" spans="1:2">
      <c r="A1544" t="s">
        <v>20</v>
      </c>
      <c r="B1544">
        <v>645.83333907305814</v>
      </c>
    </row>
    <row r="1545" spans="1:2">
      <c r="A1545" t="s">
        <v>23</v>
      </c>
      <c r="B1545">
        <v>25.413251249555973</v>
      </c>
    </row>
    <row r="1546" spans="1:2">
      <c r="A1546" t="s">
        <v>24</v>
      </c>
      <c r="B1546">
        <v>17.96988229055853</v>
      </c>
    </row>
    <row r="1547" spans="1:2">
      <c r="A1547" t="s">
        <v>21</v>
      </c>
      <c r="B1547">
        <v>4.3944863242762922E-2</v>
      </c>
    </row>
    <row r="1548" spans="1:2">
      <c r="A1548" s="3" t="s">
        <v>22</v>
      </c>
      <c r="B1548">
        <f>TDIST(ABS(B1547),1,1)</f>
        <v>0.48602090953408661</v>
      </c>
    </row>
  </sheetData>
  <dataConsolidate/>
  <conditionalFormatting sqref="C1:D1048576 B1:B26 B28:B33 B35:B60 B62:B67 B69:B94 B96:B101 B103:B128 B130:B135 B137:B162 B164:B169 B171:B194 B196:B201 B203:B225 B227:B232 B234:B256 B258:B263 B265:B287 B289:B294 B296:B318 B320:B325 B327:B349 B351:B356 B358:B380 B382:B387 B389:B398 B400:B405 B407:B416 B418:B423 B425:B434 B436:B441 B443:B452 B454:B459 B461:B470 B472:B477 B479:B486 B488:B607 B609:B614 B616:B732 B734:B739 B741:B749 B751:B756 B758:B766 B768:B773 B775:B783 B785:B790 B792:B800 B802:B807 B809:B817 B819:B824 B826:B834 B836:B841 B843:B851 B853:B858 B860:B868 B870:B875 B877:B885 B887:B892 B894:B902 B904:B909 B911:B919 B921:B926 B928:B936 B938:B943 B945:B953 B955:B960 B962:B970 B972:B977 B979:B987 B989:B1000 B1002:B1007 B1009:B1017 B1019:B1024 B1026:B1034 B1036:B1041 B1043:B1051 B1053:B1058 B1060:B1068 B1070:B1075 B1077:B1085 B1087:B1092 B1094:B1102 B1104:B1109 B1111:B1119 B1121:B1126 B1128:B1136 B1138:B1149 B1151:B1156 B1158:B1166 B1168:B1173 B1175:B1183 B1185:B1190 B1192:B1200 B1202:B1207 B1209:B1217 B1219:B1224 B1226:B1234 B1236:B1241 B1243:B1251 B1253:B1258 B1260:B1268 B1270:B1275 B1277:B1285 B1287:B1292 B1294:B1302 B1304:B1309 B1311:B1319 B1321:B1326 B1328:B1336 B1338:B1343 B1345:B1353 B1355:B1360 B1362:B1370 B1372:B1377 B1379:B1387 B1389:B1394 B1396:B1404 B1406:B1411 B1413:B1421 B1423:B1428 B1430:B1438 B1440:B1445 B1447:B1455 B1457:B1462 B1464:B1472 B1474:B1479 B1481:B1489 B1491:B1496 B1498:B1506 B1508:B1513 B1515:B1523 B1525:B1530 B1532:B1540 B1542:B1547 B1549:B1048576">
    <cfRule type="containsErrors" dxfId="953" priority="1">
      <formula>ISERROR(B1)</formula>
    </cfRule>
  </conditionalFormatting>
  <conditionalFormatting sqref="B27">
    <cfRule type="cellIs" dxfId="952" priority="2" stopIfTrue="1" operator="notBetween">
      <formula>15</formula>
      <formula>85</formula>
    </cfRule>
    <cfRule type="cellIs" dxfId="951" priority="3" stopIfTrue="1" operator="notBetween">
      <formula>25</formula>
      <formula>75</formula>
    </cfRule>
  </conditionalFormatting>
  <conditionalFormatting sqref="B34">
    <cfRule type="cellIs" dxfId="950" priority="4" stopIfTrue="1" operator="lessThanOrEqual">
      <formula>0.05</formula>
    </cfRule>
    <cfRule type="cellIs" dxfId="949" priority="5" stopIfTrue="1" operator="lessThanOrEqual">
      <formula>0.1</formula>
    </cfRule>
  </conditionalFormatting>
  <conditionalFormatting sqref="B61">
    <cfRule type="cellIs" dxfId="948" priority="6" stopIfTrue="1" operator="notBetween">
      <formula>15</formula>
      <formula>85</formula>
    </cfRule>
    <cfRule type="cellIs" dxfId="947" priority="7" stopIfTrue="1" operator="notBetween">
      <formula>25</formula>
      <formula>75</formula>
    </cfRule>
  </conditionalFormatting>
  <conditionalFormatting sqref="B68">
    <cfRule type="cellIs" dxfId="946" priority="8" stopIfTrue="1" operator="lessThanOrEqual">
      <formula>0.05</formula>
    </cfRule>
    <cfRule type="cellIs" dxfId="945" priority="9" stopIfTrue="1" operator="lessThanOrEqual">
      <formula>0.1</formula>
    </cfRule>
  </conditionalFormatting>
  <conditionalFormatting sqref="B95">
    <cfRule type="cellIs" dxfId="944" priority="10" stopIfTrue="1" operator="notBetween">
      <formula>15</formula>
      <formula>85</formula>
    </cfRule>
    <cfRule type="cellIs" dxfId="943" priority="11" stopIfTrue="1" operator="notBetween">
      <formula>25</formula>
      <formula>75</formula>
    </cfRule>
  </conditionalFormatting>
  <conditionalFormatting sqref="B102">
    <cfRule type="cellIs" dxfId="942" priority="12" stopIfTrue="1" operator="lessThanOrEqual">
      <formula>0.05</formula>
    </cfRule>
    <cfRule type="cellIs" dxfId="941" priority="13" stopIfTrue="1" operator="lessThanOrEqual">
      <formula>0.1</formula>
    </cfRule>
  </conditionalFormatting>
  <conditionalFormatting sqref="B129">
    <cfRule type="cellIs" dxfId="940" priority="14" stopIfTrue="1" operator="notBetween">
      <formula>15</formula>
      <formula>85</formula>
    </cfRule>
    <cfRule type="cellIs" dxfId="939" priority="15" stopIfTrue="1" operator="notBetween">
      <formula>25</formula>
      <formula>75</formula>
    </cfRule>
  </conditionalFormatting>
  <conditionalFormatting sqref="B136">
    <cfRule type="cellIs" dxfId="938" priority="16" stopIfTrue="1" operator="lessThanOrEqual">
      <formula>0.05</formula>
    </cfRule>
    <cfRule type="cellIs" dxfId="937" priority="17" stopIfTrue="1" operator="lessThanOrEqual">
      <formula>0.1</formula>
    </cfRule>
  </conditionalFormatting>
  <conditionalFormatting sqref="B163">
    <cfRule type="cellIs" dxfId="936" priority="18" stopIfTrue="1" operator="notBetween">
      <formula>15</formula>
      <formula>85</formula>
    </cfRule>
    <cfRule type="cellIs" dxfId="935" priority="19" stopIfTrue="1" operator="notBetween">
      <formula>25</formula>
      <formula>75</formula>
    </cfRule>
  </conditionalFormatting>
  <conditionalFormatting sqref="B170">
    <cfRule type="cellIs" dxfId="934" priority="20" stopIfTrue="1" operator="lessThanOrEqual">
      <formula>0.05</formula>
    </cfRule>
    <cfRule type="cellIs" dxfId="933" priority="21" stopIfTrue="1" operator="lessThanOrEqual">
      <formula>0.1</formula>
    </cfRule>
  </conditionalFormatting>
  <conditionalFormatting sqref="B195">
    <cfRule type="cellIs" dxfId="932" priority="22" stopIfTrue="1" operator="notBetween">
      <formula>15</formula>
      <formula>85</formula>
    </cfRule>
    <cfRule type="cellIs" dxfId="931" priority="23" stopIfTrue="1" operator="notBetween">
      <formula>25</formula>
      <formula>75</formula>
    </cfRule>
  </conditionalFormatting>
  <conditionalFormatting sqref="B202">
    <cfRule type="cellIs" dxfId="930" priority="24" stopIfTrue="1" operator="lessThanOrEqual">
      <formula>0.05</formula>
    </cfRule>
    <cfRule type="cellIs" dxfId="929" priority="25" stopIfTrue="1" operator="lessThanOrEqual">
      <formula>0.1</formula>
    </cfRule>
  </conditionalFormatting>
  <conditionalFormatting sqref="B226">
    <cfRule type="cellIs" dxfId="928" priority="26" stopIfTrue="1" operator="notBetween">
      <formula>15</formula>
      <formula>85</formula>
    </cfRule>
    <cfRule type="cellIs" dxfId="927" priority="27" stopIfTrue="1" operator="notBetween">
      <formula>25</formula>
      <formula>75</formula>
    </cfRule>
  </conditionalFormatting>
  <conditionalFormatting sqref="B233">
    <cfRule type="cellIs" dxfId="926" priority="28" stopIfTrue="1" operator="lessThanOrEqual">
      <formula>0.05</formula>
    </cfRule>
    <cfRule type="cellIs" dxfId="925" priority="29" stopIfTrue="1" operator="lessThanOrEqual">
      <formula>0.1</formula>
    </cfRule>
  </conditionalFormatting>
  <conditionalFormatting sqref="B257">
    <cfRule type="cellIs" dxfId="924" priority="30" stopIfTrue="1" operator="notBetween">
      <formula>15</formula>
      <formula>85</formula>
    </cfRule>
    <cfRule type="cellIs" dxfId="923" priority="31" stopIfTrue="1" operator="notBetween">
      <formula>25</formula>
      <formula>75</formula>
    </cfRule>
  </conditionalFormatting>
  <conditionalFormatting sqref="B264">
    <cfRule type="cellIs" dxfId="922" priority="32" stopIfTrue="1" operator="lessThanOrEqual">
      <formula>0.05</formula>
    </cfRule>
    <cfRule type="cellIs" dxfId="921" priority="33" stopIfTrue="1" operator="lessThanOrEqual">
      <formula>0.1</formula>
    </cfRule>
  </conditionalFormatting>
  <conditionalFormatting sqref="B288">
    <cfRule type="cellIs" dxfId="920" priority="34" stopIfTrue="1" operator="notBetween">
      <formula>15</formula>
      <formula>85</formula>
    </cfRule>
    <cfRule type="cellIs" dxfId="919" priority="35" stopIfTrue="1" operator="notBetween">
      <formula>25</formula>
      <formula>75</formula>
    </cfRule>
  </conditionalFormatting>
  <conditionalFormatting sqref="B295">
    <cfRule type="cellIs" dxfId="918" priority="36" stopIfTrue="1" operator="lessThanOrEqual">
      <formula>0.05</formula>
    </cfRule>
    <cfRule type="cellIs" dxfId="917" priority="37" stopIfTrue="1" operator="lessThanOrEqual">
      <formula>0.1</formula>
    </cfRule>
  </conditionalFormatting>
  <conditionalFormatting sqref="B319">
    <cfRule type="cellIs" dxfId="916" priority="38" stopIfTrue="1" operator="notBetween">
      <formula>15</formula>
      <formula>85</formula>
    </cfRule>
    <cfRule type="cellIs" dxfId="915" priority="39" stopIfTrue="1" operator="notBetween">
      <formula>25</formula>
      <formula>75</formula>
    </cfRule>
  </conditionalFormatting>
  <conditionalFormatting sqref="B326">
    <cfRule type="cellIs" dxfId="914" priority="40" stopIfTrue="1" operator="lessThanOrEqual">
      <formula>0.05</formula>
    </cfRule>
    <cfRule type="cellIs" dxfId="913" priority="41" stopIfTrue="1" operator="lessThanOrEqual">
      <formula>0.1</formula>
    </cfRule>
  </conditionalFormatting>
  <conditionalFormatting sqref="B350">
    <cfRule type="cellIs" dxfId="912" priority="42" stopIfTrue="1" operator="notBetween">
      <formula>15</formula>
      <formula>85</formula>
    </cfRule>
    <cfRule type="cellIs" dxfId="911" priority="43" stopIfTrue="1" operator="notBetween">
      <formula>25</formula>
      <formula>75</formula>
    </cfRule>
  </conditionalFormatting>
  <conditionalFormatting sqref="B357">
    <cfRule type="cellIs" dxfId="910" priority="44" stopIfTrue="1" operator="lessThanOrEqual">
      <formula>0.05</formula>
    </cfRule>
    <cfRule type="cellIs" dxfId="909" priority="45" stopIfTrue="1" operator="lessThanOrEqual">
      <formula>0.1</formula>
    </cfRule>
  </conditionalFormatting>
  <conditionalFormatting sqref="B381">
    <cfRule type="cellIs" dxfId="908" priority="46" stopIfTrue="1" operator="notBetween">
      <formula>15</formula>
      <formula>85</formula>
    </cfRule>
    <cfRule type="cellIs" dxfId="907" priority="47" stopIfTrue="1" operator="notBetween">
      <formula>25</formula>
      <formula>75</formula>
    </cfRule>
  </conditionalFormatting>
  <conditionalFormatting sqref="B388">
    <cfRule type="cellIs" dxfId="906" priority="48" stopIfTrue="1" operator="lessThanOrEqual">
      <formula>0.05</formula>
    </cfRule>
    <cfRule type="cellIs" dxfId="905" priority="49" stopIfTrue="1" operator="lessThanOrEqual">
      <formula>0.1</formula>
    </cfRule>
  </conditionalFormatting>
  <conditionalFormatting sqref="B399">
    <cfRule type="cellIs" dxfId="904" priority="50" stopIfTrue="1" operator="notBetween">
      <formula>15</formula>
      <formula>85</formula>
    </cfRule>
    <cfRule type="cellIs" dxfId="903" priority="51" stopIfTrue="1" operator="notBetween">
      <formula>25</formula>
      <formula>75</formula>
    </cfRule>
  </conditionalFormatting>
  <conditionalFormatting sqref="B406">
    <cfRule type="cellIs" dxfId="902" priority="52" stopIfTrue="1" operator="lessThanOrEqual">
      <formula>0.05</formula>
    </cfRule>
    <cfRule type="cellIs" dxfId="901" priority="53" stopIfTrue="1" operator="lessThanOrEqual">
      <formula>0.1</formula>
    </cfRule>
  </conditionalFormatting>
  <conditionalFormatting sqref="B417">
    <cfRule type="cellIs" dxfId="900" priority="54" stopIfTrue="1" operator="notBetween">
      <formula>15</formula>
      <formula>85</formula>
    </cfRule>
    <cfRule type="cellIs" dxfId="899" priority="55" stopIfTrue="1" operator="notBetween">
      <formula>25</formula>
      <formula>75</formula>
    </cfRule>
  </conditionalFormatting>
  <conditionalFormatting sqref="B424">
    <cfRule type="cellIs" dxfId="898" priority="56" stopIfTrue="1" operator="lessThanOrEqual">
      <formula>0.05</formula>
    </cfRule>
    <cfRule type="cellIs" dxfId="897" priority="57" stopIfTrue="1" operator="lessThanOrEqual">
      <formula>0.1</formula>
    </cfRule>
  </conditionalFormatting>
  <conditionalFormatting sqref="B435">
    <cfRule type="cellIs" dxfId="896" priority="58" stopIfTrue="1" operator="notBetween">
      <formula>15</formula>
      <formula>85</formula>
    </cfRule>
    <cfRule type="cellIs" dxfId="895" priority="59" stopIfTrue="1" operator="notBetween">
      <formula>25</formula>
      <formula>75</formula>
    </cfRule>
  </conditionalFormatting>
  <conditionalFormatting sqref="B442">
    <cfRule type="cellIs" dxfId="894" priority="60" stopIfTrue="1" operator="lessThanOrEqual">
      <formula>0.05</formula>
    </cfRule>
    <cfRule type="cellIs" dxfId="893" priority="61" stopIfTrue="1" operator="lessThanOrEqual">
      <formula>0.1</formula>
    </cfRule>
  </conditionalFormatting>
  <conditionalFormatting sqref="B453">
    <cfRule type="cellIs" dxfId="892" priority="62" stopIfTrue="1" operator="notBetween">
      <formula>15</formula>
      <formula>85</formula>
    </cfRule>
    <cfRule type="cellIs" dxfId="891" priority="63" stopIfTrue="1" operator="notBetween">
      <formula>25</formula>
      <formula>75</formula>
    </cfRule>
  </conditionalFormatting>
  <conditionalFormatting sqref="B460">
    <cfRule type="cellIs" dxfId="890" priority="64" stopIfTrue="1" operator="lessThanOrEqual">
      <formula>0.05</formula>
    </cfRule>
    <cfRule type="cellIs" dxfId="889" priority="65" stopIfTrue="1" operator="lessThanOrEqual">
      <formula>0.1</formula>
    </cfRule>
  </conditionalFormatting>
  <conditionalFormatting sqref="B471">
    <cfRule type="cellIs" dxfId="888" priority="66" stopIfTrue="1" operator="notBetween">
      <formula>15</formula>
      <formula>85</formula>
    </cfRule>
    <cfRule type="cellIs" dxfId="887" priority="67" stopIfTrue="1" operator="notBetween">
      <formula>25</formula>
      <formula>75</formula>
    </cfRule>
  </conditionalFormatting>
  <conditionalFormatting sqref="B478">
    <cfRule type="cellIs" dxfId="886" priority="68" stopIfTrue="1" operator="lessThanOrEqual">
      <formula>0.05</formula>
    </cfRule>
    <cfRule type="cellIs" dxfId="885" priority="69" stopIfTrue="1" operator="lessThanOrEqual">
      <formula>0.1</formula>
    </cfRule>
  </conditionalFormatting>
  <conditionalFormatting sqref="B487">
    <cfRule type="cellIs" dxfId="884" priority="70" stopIfTrue="1" operator="notBetween">
      <formula>15</formula>
      <formula>85</formula>
    </cfRule>
    <cfRule type="cellIs" dxfId="883" priority="71" stopIfTrue="1" operator="notBetween">
      <formula>25</formula>
      <formula>75</formula>
    </cfRule>
  </conditionalFormatting>
  <conditionalFormatting sqref="B608">
    <cfRule type="cellIs" dxfId="882" priority="72" stopIfTrue="1" operator="notBetween">
      <formula>15</formula>
      <formula>85</formula>
    </cfRule>
    <cfRule type="cellIs" dxfId="881" priority="73" stopIfTrue="1" operator="notBetween">
      <formula>25</formula>
      <formula>75</formula>
    </cfRule>
  </conditionalFormatting>
  <conditionalFormatting sqref="B615">
    <cfRule type="cellIs" dxfId="880" priority="74" stopIfTrue="1" operator="lessThanOrEqual">
      <formula>0.05</formula>
    </cfRule>
    <cfRule type="cellIs" dxfId="879" priority="75" stopIfTrue="1" operator="lessThanOrEqual">
      <formula>0.1</formula>
    </cfRule>
  </conditionalFormatting>
  <conditionalFormatting sqref="B733">
    <cfRule type="cellIs" dxfId="878" priority="76" stopIfTrue="1" operator="notBetween">
      <formula>15</formula>
      <formula>85</formula>
    </cfRule>
    <cfRule type="cellIs" dxfId="877" priority="77" stopIfTrue="1" operator="notBetween">
      <formula>25</formula>
      <formula>75</formula>
    </cfRule>
  </conditionalFormatting>
  <conditionalFormatting sqref="B740">
    <cfRule type="cellIs" dxfId="876" priority="78" stopIfTrue="1" operator="lessThanOrEqual">
      <formula>0.05</formula>
    </cfRule>
    <cfRule type="cellIs" dxfId="875" priority="79" stopIfTrue="1" operator="lessThanOrEqual">
      <formula>0.1</formula>
    </cfRule>
  </conditionalFormatting>
  <conditionalFormatting sqref="B750">
    <cfRule type="cellIs" dxfId="874" priority="80" stopIfTrue="1" operator="notBetween">
      <formula>15</formula>
      <formula>85</formula>
    </cfRule>
    <cfRule type="cellIs" dxfId="873" priority="81" stopIfTrue="1" operator="notBetween">
      <formula>25</formula>
      <formula>75</formula>
    </cfRule>
  </conditionalFormatting>
  <conditionalFormatting sqref="B757">
    <cfRule type="cellIs" dxfId="872" priority="82" stopIfTrue="1" operator="lessThanOrEqual">
      <formula>0.05</formula>
    </cfRule>
    <cfRule type="cellIs" dxfId="871" priority="83" stopIfTrue="1" operator="lessThanOrEqual">
      <formula>0.1</formula>
    </cfRule>
  </conditionalFormatting>
  <conditionalFormatting sqref="B767">
    <cfRule type="cellIs" dxfId="870" priority="84" stopIfTrue="1" operator="notBetween">
      <formula>15</formula>
      <formula>85</formula>
    </cfRule>
    <cfRule type="cellIs" dxfId="869" priority="85" stopIfTrue="1" operator="notBetween">
      <formula>25</formula>
      <formula>75</formula>
    </cfRule>
  </conditionalFormatting>
  <conditionalFormatting sqref="B774">
    <cfRule type="cellIs" dxfId="868" priority="86" stopIfTrue="1" operator="lessThanOrEqual">
      <formula>0.05</formula>
    </cfRule>
    <cfRule type="cellIs" dxfId="867" priority="87" stopIfTrue="1" operator="lessThanOrEqual">
      <formula>0.1</formula>
    </cfRule>
  </conditionalFormatting>
  <conditionalFormatting sqref="B784">
    <cfRule type="cellIs" dxfId="866" priority="88" stopIfTrue="1" operator="notBetween">
      <formula>15</formula>
      <formula>85</formula>
    </cfRule>
    <cfRule type="cellIs" dxfId="865" priority="89" stopIfTrue="1" operator="notBetween">
      <formula>25</formula>
      <formula>75</formula>
    </cfRule>
  </conditionalFormatting>
  <conditionalFormatting sqref="B791">
    <cfRule type="cellIs" dxfId="864" priority="90" stopIfTrue="1" operator="lessThanOrEqual">
      <formula>0.05</formula>
    </cfRule>
    <cfRule type="cellIs" dxfId="863" priority="91" stopIfTrue="1" operator="lessThanOrEqual">
      <formula>0.1</formula>
    </cfRule>
  </conditionalFormatting>
  <conditionalFormatting sqref="B801">
    <cfRule type="cellIs" dxfId="862" priority="92" stopIfTrue="1" operator="notBetween">
      <formula>15</formula>
      <formula>85</formula>
    </cfRule>
    <cfRule type="cellIs" dxfId="861" priority="93" stopIfTrue="1" operator="notBetween">
      <formula>25</formula>
      <formula>75</formula>
    </cfRule>
  </conditionalFormatting>
  <conditionalFormatting sqref="B808">
    <cfRule type="cellIs" dxfId="860" priority="94" stopIfTrue="1" operator="lessThanOrEqual">
      <formula>0.05</formula>
    </cfRule>
    <cfRule type="cellIs" dxfId="859" priority="95" stopIfTrue="1" operator="lessThanOrEqual">
      <formula>0.1</formula>
    </cfRule>
  </conditionalFormatting>
  <conditionalFormatting sqref="B818">
    <cfRule type="cellIs" dxfId="858" priority="96" stopIfTrue="1" operator="notBetween">
      <formula>15</formula>
      <formula>85</formula>
    </cfRule>
    <cfRule type="cellIs" dxfId="857" priority="97" stopIfTrue="1" operator="notBetween">
      <formula>25</formula>
      <formula>75</formula>
    </cfRule>
  </conditionalFormatting>
  <conditionalFormatting sqref="B825">
    <cfRule type="cellIs" dxfId="856" priority="98" stopIfTrue="1" operator="lessThanOrEqual">
      <formula>0.05</formula>
    </cfRule>
    <cfRule type="cellIs" dxfId="855" priority="99" stopIfTrue="1" operator="lessThanOrEqual">
      <formula>0.1</formula>
    </cfRule>
  </conditionalFormatting>
  <conditionalFormatting sqref="B835">
    <cfRule type="cellIs" dxfId="854" priority="100" stopIfTrue="1" operator="notBetween">
      <formula>15</formula>
      <formula>85</formula>
    </cfRule>
    <cfRule type="cellIs" dxfId="853" priority="101" stopIfTrue="1" operator="notBetween">
      <formula>25</formula>
      <formula>75</formula>
    </cfRule>
  </conditionalFormatting>
  <conditionalFormatting sqref="B842">
    <cfRule type="cellIs" dxfId="852" priority="102" stopIfTrue="1" operator="lessThanOrEqual">
      <formula>0.05</formula>
    </cfRule>
    <cfRule type="cellIs" dxfId="851" priority="103" stopIfTrue="1" operator="lessThanOrEqual">
      <formula>0.1</formula>
    </cfRule>
  </conditionalFormatting>
  <conditionalFormatting sqref="B852">
    <cfRule type="cellIs" dxfId="850" priority="104" stopIfTrue="1" operator="notBetween">
      <formula>15</formula>
      <formula>85</formula>
    </cfRule>
    <cfRule type="cellIs" dxfId="849" priority="105" stopIfTrue="1" operator="notBetween">
      <formula>25</formula>
      <formula>75</formula>
    </cfRule>
  </conditionalFormatting>
  <conditionalFormatting sqref="B859">
    <cfRule type="cellIs" dxfId="848" priority="106" stopIfTrue="1" operator="lessThanOrEqual">
      <formula>0.05</formula>
    </cfRule>
    <cfRule type="cellIs" dxfId="847" priority="107" stopIfTrue="1" operator="lessThanOrEqual">
      <formula>0.1</formula>
    </cfRule>
  </conditionalFormatting>
  <conditionalFormatting sqref="B869">
    <cfRule type="cellIs" dxfId="846" priority="108" stopIfTrue="1" operator="notBetween">
      <formula>15</formula>
      <formula>85</formula>
    </cfRule>
    <cfRule type="cellIs" dxfId="845" priority="109" stopIfTrue="1" operator="notBetween">
      <formula>25</formula>
      <formula>75</formula>
    </cfRule>
  </conditionalFormatting>
  <conditionalFormatting sqref="B876">
    <cfRule type="cellIs" dxfId="844" priority="110" stopIfTrue="1" operator="lessThanOrEqual">
      <formula>0.05</formula>
    </cfRule>
    <cfRule type="cellIs" dxfId="843" priority="111" stopIfTrue="1" operator="lessThanOrEqual">
      <formula>0.1</formula>
    </cfRule>
  </conditionalFormatting>
  <conditionalFormatting sqref="B886">
    <cfRule type="cellIs" dxfId="842" priority="112" stopIfTrue="1" operator="notBetween">
      <formula>15</formula>
      <formula>85</formula>
    </cfRule>
    <cfRule type="cellIs" dxfId="841" priority="113" stopIfTrue="1" operator="notBetween">
      <formula>25</formula>
      <formula>75</formula>
    </cfRule>
  </conditionalFormatting>
  <conditionalFormatting sqref="B893">
    <cfRule type="cellIs" dxfId="840" priority="114" stopIfTrue="1" operator="lessThanOrEqual">
      <formula>0.05</formula>
    </cfRule>
    <cfRule type="cellIs" dxfId="839" priority="115" stopIfTrue="1" operator="lessThanOrEqual">
      <formula>0.1</formula>
    </cfRule>
  </conditionalFormatting>
  <conditionalFormatting sqref="B903">
    <cfRule type="cellIs" dxfId="838" priority="116" stopIfTrue="1" operator="notBetween">
      <formula>15</formula>
      <formula>85</formula>
    </cfRule>
    <cfRule type="cellIs" dxfId="837" priority="117" stopIfTrue="1" operator="notBetween">
      <formula>25</formula>
      <formula>75</formula>
    </cfRule>
  </conditionalFormatting>
  <conditionalFormatting sqref="B910">
    <cfRule type="cellIs" dxfId="836" priority="118" stopIfTrue="1" operator="lessThanOrEqual">
      <formula>0.05</formula>
    </cfRule>
    <cfRule type="cellIs" dxfId="835" priority="119" stopIfTrue="1" operator="lessThanOrEqual">
      <formula>0.1</formula>
    </cfRule>
  </conditionalFormatting>
  <conditionalFormatting sqref="B920">
    <cfRule type="cellIs" dxfId="834" priority="120" stopIfTrue="1" operator="notBetween">
      <formula>15</formula>
      <formula>85</formula>
    </cfRule>
    <cfRule type="cellIs" dxfId="833" priority="121" stopIfTrue="1" operator="notBetween">
      <formula>25</formula>
      <formula>75</formula>
    </cfRule>
  </conditionalFormatting>
  <conditionalFormatting sqref="B927">
    <cfRule type="cellIs" dxfId="832" priority="122" stopIfTrue="1" operator="lessThanOrEqual">
      <formula>0.05</formula>
    </cfRule>
    <cfRule type="cellIs" dxfId="831" priority="123" stopIfTrue="1" operator="lessThanOrEqual">
      <formula>0.1</formula>
    </cfRule>
  </conditionalFormatting>
  <conditionalFormatting sqref="B937">
    <cfRule type="cellIs" dxfId="830" priority="124" stopIfTrue="1" operator="notBetween">
      <formula>15</formula>
      <formula>85</formula>
    </cfRule>
    <cfRule type="cellIs" dxfId="829" priority="125" stopIfTrue="1" operator="notBetween">
      <formula>25</formula>
      <formula>75</formula>
    </cfRule>
  </conditionalFormatting>
  <conditionalFormatting sqref="B944">
    <cfRule type="cellIs" dxfId="828" priority="126" stopIfTrue="1" operator="lessThanOrEqual">
      <formula>0.05</formula>
    </cfRule>
    <cfRule type="cellIs" dxfId="827" priority="127" stopIfTrue="1" operator="lessThanOrEqual">
      <formula>0.1</formula>
    </cfRule>
  </conditionalFormatting>
  <conditionalFormatting sqref="B954">
    <cfRule type="cellIs" dxfId="826" priority="128" stopIfTrue="1" operator="notBetween">
      <formula>15</formula>
      <formula>85</formula>
    </cfRule>
    <cfRule type="cellIs" dxfId="825" priority="129" stopIfTrue="1" operator="notBetween">
      <formula>25</formula>
      <formula>75</formula>
    </cfRule>
  </conditionalFormatting>
  <conditionalFormatting sqref="B961">
    <cfRule type="cellIs" dxfId="824" priority="130" stopIfTrue="1" operator="lessThanOrEqual">
      <formula>0.05</formula>
    </cfRule>
    <cfRule type="cellIs" dxfId="823" priority="131" stopIfTrue="1" operator="lessThanOrEqual">
      <formula>0.1</formula>
    </cfRule>
  </conditionalFormatting>
  <conditionalFormatting sqref="B971">
    <cfRule type="cellIs" dxfId="822" priority="132" stopIfTrue="1" operator="notBetween">
      <formula>15</formula>
      <formula>85</formula>
    </cfRule>
    <cfRule type="cellIs" dxfId="821" priority="133" stopIfTrue="1" operator="notBetween">
      <formula>25</formula>
      <formula>75</formula>
    </cfRule>
  </conditionalFormatting>
  <conditionalFormatting sqref="B978">
    <cfRule type="cellIs" dxfId="820" priority="134" stopIfTrue="1" operator="lessThanOrEqual">
      <formula>0.05</formula>
    </cfRule>
    <cfRule type="cellIs" dxfId="819" priority="135" stopIfTrue="1" operator="lessThanOrEqual">
      <formula>0.1</formula>
    </cfRule>
  </conditionalFormatting>
  <conditionalFormatting sqref="B988">
    <cfRule type="cellIs" dxfId="818" priority="136" stopIfTrue="1" operator="notBetween">
      <formula>15</formula>
      <formula>85</formula>
    </cfRule>
    <cfRule type="cellIs" dxfId="817" priority="137" stopIfTrue="1" operator="notBetween">
      <formula>25</formula>
      <formula>75</formula>
    </cfRule>
  </conditionalFormatting>
  <conditionalFormatting sqref="B1001">
    <cfRule type="cellIs" dxfId="816" priority="138" stopIfTrue="1" operator="notBetween">
      <formula>15</formula>
      <formula>85</formula>
    </cfRule>
    <cfRule type="cellIs" dxfId="815" priority="139" stopIfTrue="1" operator="notBetween">
      <formula>25</formula>
      <formula>75</formula>
    </cfRule>
  </conditionalFormatting>
  <conditionalFormatting sqref="B1008">
    <cfRule type="cellIs" dxfId="814" priority="140" stopIfTrue="1" operator="lessThanOrEqual">
      <formula>0.05</formula>
    </cfRule>
    <cfRule type="cellIs" dxfId="813" priority="141" stopIfTrue="1" operator="lessThanOrEqual">
      <formula>0.1</formula>
    </cfRule>
  </conditionalFormatting>
  <conditionalFormatting sqref="B1018">
    <cfRule type="cellIs" dxfId="812" priority="142" stopIfTrue="1" operator="notBetween">
      <formula>15</formula>
      <formula>85</formula>
    </cfRule>
    <cfRule type="cellIs" dxfId="811" priority="143" stopIfTrue="1" operator="notBetween">
      <formula>25</formula>
      <formula>75</formula>
    </cfRule>
  </conditionalFormatting>
  <conditionalFormatting sqref="B1025">
    <cfRule type="cellIs" dxfId="810" priority="144" stopIfTrue="1" operator="lessThanOrEqual">
      <formula>0.05</formula>
    </cfRule>
    <cfRule type="cellIs" dxfId="809" priority="145" stopIfTrue="1" operator="lessThanOrEqual">
      <formula>0.1</formula>
    </cfRule>
  </conditionalFormatting>
  <conditionalFormatting sqref="B1035">
    <cfRule type="cellIs" dxfId="808" priority="146" stopIfTrue="1" operator="notBetween">
      <formula>15</formula>
      <formula>85</formula>
    </cfRule>
    <cfRule type="cellIs" dxfId="807" priority="147" stopIfTrue="1" operator="notBetween">
      <formula>25</formula>
      <formula>75</formula>
    </cfRule>
  </conditionalFormatting>
  <conditionalFormatting sqref="B1042">
    <cfRule type="cellIs" dxfId="806" priority="148" stopIfTrue="1" operator="lessThanOrEqual">
      <formula>0.05</formula>
    </cfRule>
    <cfRule type="cellIs" dxfId="805" priority="149" stopIfTrue="1" operator="lessThanOrEqual">
      <formula>0.1</formula>
    </cfRule>
  </conditionalFormatting>
  <conditionalFormatting sqref="B1052">
    <cfRule type="cellIs" dxfId="804" priority="150" stopIfTrue="1" operator="notBetween">
      <formula>15</formula>
      <formula>85</formula>
    </cfRule>
    <cfRule type="cellIs" dxfId="803" priority="151" stopIfTrue="1" operator="notBetween">
      <formula>25</formula>
      <formula>75</formula>
    </cfRule>
  </conditionalFormatting>
  <conditionalFormatting sqref="B1059">
    <cfRule type="cellIs" dxfId="802" priority="152" stopIfTrue="1" operator="lessThanOrEqual">
      <formula>0.05</formula>
    </cfRule>
    <cfRule type="cellIs" dxfId="801" priority="153" stopIfTrue="1" operator="lessThanOrEqual">
      <formula>0.1</formula>
    </cfRule>
  </conditionalFormatting>
  <conditionalFormatting sqref="B1069">
    <cfRule type="cellIs" dxfId="800" priority="154" stopIfTrue="1" operator="notBetween">
      <formula>15</formula>
      <formula>85</formula>
    </cfRule>
    <cfRule type="cellIs" dxfId="799" priority="155" stopIfTrue="1" operator="notBetween">
      <formula>25</formula>
      <formula>75</formula>
    </cfRule>
  </conditionalFormatting>
  <conditionalFormatting sqref="B1076">
    <cfRule type="cellIs" dxfId="798" priority="156" stopIfTrue="1" operator="lessThanOrEqual">
      <formula>0.05</formula>
    </cfRule>
    <cfRule type="cellIs" dxfId="797" priority="157" stopIfTrue="1" operator="lessThanOrEqual">
      <formula>0.1</formula>
    </cfRule>
  </conditionalFormatting>
  <conditionalFormatting sqref="B1086">
    <cfRule type="cellIs" dxfId="796" priority="158" stopIfTrue="1" operator="notBetween">
      <formula>15</formula>
      <formula>85</formula>
    </cfRule>
    <cfRule type="cellIs" dxfId="795" priority="159" stopIfTrue="1" operator="notBetween">
      <formula>25</formula>
      <formula>75</formula>
    </cfRule>
  </conditionalFormatting>
  <conditionalFormatting sqref="B1093">
    <cfRule type="cellIs" dxfId="794" priority="160" stopIfTrue="1" operator="lessThanOrEqual">
      <formula>0.05</formula>
    </cfRule>
    <cfRule type="cellIs" dxfId="793" priority="161" stopIfTrue="1" operator="lessThanOrEqual">
      <formula>0.1</formula>
    </cfRule>
  </conditionalFormatting>
  <conditionalFormatting sqref="B1103">
    <cfRule type="cellIs" dxfId="792" priority="162" stopIfTrue="1" operator="notBetween">
      <formula>15</formula>
      <formula>85</formula>
    </cfRule>
    <cfRule type="cellIs" dxfId="791" priority="163" stopIfTrue="1" operator="notBetween">
      <formula>25</formula>
      <formula>75</formula>
    </cfRule>
  </conditionalFormatting>
  <conditionalFormatting sqref="B1110">
    <cfRule type="cellIs" dxfId="790" priority="164" stopIfTrue="1" operator="lessThanOrEqual">
      <formula>0.05</formula>
    </cfRule>
    <cfRule type="cellIs" dxfId="789" priority="165" stopIfTrue="1" operator="lessThanOrEqual">
      <formula>0.1</formula>
    </cfRule>
  </conditionalFormatting>
  <conditionalFormatting sqref="B1120">
    <cfRule type="cellIs" dxfId="788" priority="166" stopIfTrue="1" operator="notBetween">
      <formula>15</formula>
      <formula>85</formula>
    </cfRule>
    <cfRule type="cellIs" dxfId="787" priority="167" stopIfTrue="1" operator="notBetween">
      <formula>25</formula>
      <formula>75</formula>
    </cfRule>
  </conditionalFormatting>
  <conditionalFormatting sqref="B1127">
    <cfRule type="cellIs" dxfId="786" priority="168" stopIfTrue="1" operator="lessThanOrEqual">
      <formula>0.05</formula>
    </cfRule>
    <cfRule type="cellIs" dxfId="785" priority="169" stopIfTrue="1" operator="lessThanOrEqual">
      <formula>0.1</formula>
    </cfRule>
  </conditionalFormatting>
  <conditionalFormatting sqref="B1137">
    <cfRule type="cellIs" dxfId="784" priority="170" stopIfTrue="1" operator="notBetween">
      <formula>15</formula>
      <formula>85</formula>
    </cfRule>
    <cfRule type="cellIs" dxfId="783" priority="171" stopIfTrue="1" operator="notBetween">
      <formula>25</formula>
      <formula>75</formula>
    </cfRule>
  </conditionalFormatting>
  <conditionalFormatting sqref="B1150">
    <cfRule type="cellIs" dxfId="782" priority="172" stopIfTrue="1" operator="notBetween">
      <formula>15</formula>
      <formula>85</formula>
    </cfRule>
    <cfRule type="cellIs" dxfId="781" priority="173" stopIfTrue="1" operator="notBetween">
      <formula>25</formula>
      <formula>75</formula>
    </cfRule>
  </conditionalFormatting>
  <conditionalFormatting sqref="B1157">
    <cfRule type="cellIs" dxfId="780" priority="174" stopIfTrue="1" operator="lessThanOrEqual">
      <formula>0.05</formula>
    </cfRule>
    <cfRule type="cellIs" dxfId="779" priority="175" stopIfTrue="1" operator="lessThanOrEqual">
      <formula>0.1</formula>
    </cfRule>
  </conditionalFormatting>
  <conditionalFormatting sqref="B1167">
    <cfRule type="cellIs" dxfId="778" priority="176" stopIfTrue="1" operator="notBetween">
      <formula>15</formula>
      <formula>85</formula>
    </cfRule>
    <cfRule type="cellIs" dxfId="777" priority="177" stopIfTrue="1" operator="notBetween">
      <formula>25</formula>
      <formula>75</formula>
    </cfRule>
  </conditionalFormatting>
  <conditionalFormatting sqref="B1174">
    <cfRule type="cellIs" dxfId="776" priority="178" stopIfTrue="1" operator="lessThanOrEqual">
      <formula>0.05</formula>
    </cfRule>
    <cfRule type="cellIs" dxfId="775" priority="179" stopIfTrue="1" operator="lessThanOrEqual">
      <formula>0.1</formula>
    </cfRule>
  </conditionalFormatting>
  <conditionalFormatting sqref="B1184">
    <cfRule type="cellIs" dxfId="774" priority="180" stopIfTrue="1" operator="notBetween">
      <formula>15</formula>
      <formula>85</formula>
    </cfRule>
    <cfRule type="cellIs" dxfId="773" priority="181" stopIfTrue="1" operator="notBetween">
      <formula>25</formula>
      <formula>75</formula>
    </cfRule>
  </conditionalFormatting>
  <conditionalFormatting sqref="B1191">
    <cfRule type="cellIs" dxfId="772" priority="182" stopIfTrue="1" operator="lessThanOrEqual">
      <formula>0.05</formula>
    </cfRule>
    <cfRule type="cellIs" dxfId="771" priority="183" stopIfTrue="1" operator="lessThanOrEqual">
      <formula>0.1</formula>
    </cfRule>
  </conditionalFormatting>
  <conditionalFormatting sqref="B1201">
    <cfRule type="cellIs" dxfId="770" priority="184" stopIfTrue="1" operator="notBetween">
      <formula>15</formula>
      <formula>85</formula>
    </cfRule>
    <cfRule type="cellIs" dxfId="769" priority="185" stopIfTrue="1" operator="notBetween">
      <formula>25</formula>
      <formula>75</formula>
    </cfRule>
  </conditionalFormatting>
  <conditionalFormatting sqref="B1208">
    <cfRule type="cellIs" dxfId="768" priority="186" stopIfTrue="1" operator="lessThanOrEqual">
      <formula>0.05</formula>
    </cfRule>
    <cfRule type="cellIs" dxfId="767" priority="187" stopIfTrue="1" operator="lessThanOrEqual">
      <formula>0.1</formula>
    </cfRule>
  </conditionalFormatting>
  <conditionalFormatting sqref="B1218">
    <cfRule type="cellIs" dxfId="766" priority="188" stopIfTrue="1" operator="notBetween">
      <formula>15</formula>
      <formula>85</formula>
    </cfRule>
    <cfRule type="cellIs" dxfId="765" priority="189" stopIfTrue="1" operator="notBetween">
      <formula>25</formula>
      <formula>75</formula>
    </cfRule>
  </conditionalFormatting>
  <conditionalFormatting sqref="B1225">
    <cfRule type="cellIs" dxfId="764" priority="190" stopIfTrue="1" operator="lessThanOrEqual">
      <formula>0.05</formula>
    </cfRule>
    <cfRule type="cellIs" dxfId="763" priority="191" stopIfTrue="1" operator="lessThanOrEqual">
      <formula>0.1</formula>
    </cfRule>
  </conditionalFormatting>
  <conditionalFormatting sqref="B1235">
    <cfRule type="cellIs" dxfId="762" priority="192" stopIfTrue="1" operator="notBetween">
      <formula>15</formula>
      <formula>85</formula>
    </cfRule>
    <cfRule type="cellIs" dxfId="761" priority="193" stopIfTrue="1" operator="notBetween">
      <formula>25</formula>
      <formula>75</formula>
    </cfRule>
  </conditionalFormatting>
  <conditionalFormatting sqref="B1242">
    <cfRule type="cellIs" dxfId="760" priority="194" stopIfTrue="1" operator="lessThanOrEqual">
      <formula>0.05</formula>
    </cfRule>
    <cfRule type="cellIs" dxfId="759" priority="195" stopIfTrue="1" operator="lessThanOrEqual">
      <formula>0.1</formula>
    </cfRule>
  </conditionalFormatting>
  <conditionalFormatting sqref="B1252">
    <cfRule type="cellIs" dxfId="758" priority="196" stopIfTrue="1" operator="notBetween">
      <formula>15</formula>
      <formula>85</formula>
    </cfRule>
    <cfRule type="cellIs" dxfId="757" priority="197" stopIfTrue="1" operator="notBetween">
      <formula>25</formula>
      <formula>75</formula>
    </cfRule>
  </conditionalFormatting>
  <conditionalFormatting sqref="B1259">
    <cfRule type="cellIs" dxfId="756" priority="198" stopIfTrue="1" operator="lessThanOrEqual">
      <formula>0.05</formula>
    </cfRule>
    <cfRule type="cellIs" dxfId="755" priority="199" stopIfTrue="1" operator="lessThanOrEqual">
      <formula>0.1</formula>
    </cfRule>
  </conditionalFormatting>
  <conditionalFormatting sqref="B1269">
    <cfRule type="cellIs" dxfId="754" priority="200" stopIfTrue="1" operator="notBetween">
      <formula>15</formula>
      <formula>85</formula>
    </cfRule>
    <cfRule type="cellIs" dxfId="753" priority="201" stopIfTrue="1" operator="notBetween">
      <formula>25</formula>
      <formula>75</formula>
    </cfRule>
  </conditionalFormatting>
  <conditionalFormatting sqref="B1276">
    <cfRule type="cellIs" dxfId="752" priority="202" stopIfTrue="1" operator="lessThanOrEqual">
      <formula>0.05</formula>
    </cfRule>
    <cfRule type="cellIs" dxfId="751" priority="203" stopIfTrue="1" operator="lessThanOrEqual">
      <formula>0.1</formula>
    </cfRule>
  </conditionalFormatting>
  <conditionalFormatting sqref="B1286">
    <cfRule type="cellIs" dxfId="750" priority="204" stopIfTrue="1" operator="notBetween">
      <formula>15</formula>
      <formula>85</formula>
    </cfRule>
    <cfRule type="cellIs" dxfId="749" priority="205" stopIfTrue="1" operator="notBetween">
      <formula>25</formula>
      <formula>75</formula>
    </cfRule>
  </conditionalFormatting>
  <conditionalFormatting sqref="B1293">
    <cfRule type="cellIs" dxfId="748" priority="206" stopIfTrue="1" operator="lessThanOrEqual">
      <formula>0.05</formula>
    </cfRule>
    <cfRule type="cellIs" dxfId="747" priority="207" stopIfTrue="1" operator="lessThanOrEqual">
      <formula>0.1</formula>
    </cfRule>
  </conditionalFormatting>
  <conditionalFormatting sqref="B1303">
    <cfRule type="cellIs" dxfId="746" priority="208" stopIfTrue="1" operator="notBetween">
      <formula>15</formula>
      <formula>85</formula>
    </cfRule>
    <cfRule type="cellIs" dxfId="745" priority="209" stopIfTrue="1" operator="notBetween">
      <formula>25</formula>
      <formula>75</formula>
    </cfRule>
  </conditionalFormatting>
  <conditionalFormatting sqref="B1310">
    <cfRule type="cellIs" dxfId="744" priority="210" stopIfTrue="1" operator="lessThanOrEqual">
      <formula>0.05</formula>
    </cfRule>
    <cfRule type="cellIs" dxfId="743" priority="211" stopIfTrue="1" operator="lessThanOrEqual">
      <formula>0.1</formula>
    </cfRule>
  </conditionalFormatting>
  <conditionalFormatting sqref="B1320">
    <cfRule type="cellIs" dxfId="742" priority="212" stopIfTrue="1" operator="notBetween">
      <formula>15</formula>
      <formula>85</formula>
    </cfRule>
    <cfRule type="cellIs" dxfId="741" priority="213" stopIfTrue="1" operator="notBetween">
      <formula>25</formula>
      <formula>75</formula>
    </cfRule>
  </conditionalFormatting>
  <conditionalFormatting sqref="B1327">
    <cfRule type="cellIs" dxfId="740" priority="214" stopIfTrue="1" operator="lessThanOrEqual">
      <formula>0.05</formula>
    </cfRule>
    <cfRule type="cellIs" dxfId="739" priority="215" stopIfTrue="1" operator="lessThanOrEqual">
      <formula>0.1</formula>
    </cfRule>
  </conditionalFormatting>
  <conditionalFormatting sqref="B1337">
    <cfRule type="cellIs" dxfId="738" priority="216" stopIfTrue="1" operator="notBetween">
      <formula>15</formula>
      <formula>85</formula>
    </cfRule>
    <cfRule type="cellIs" dxfId="737" priority="217" stopIfTrue="1" operator="notBetween">
      <formula>25</formula>
      <formula>75</formula>
    </cfRule>
  </conditionalFormatting>
  <conditionalFormatting sqref="B1344">
    <cfRule type="cellIs" dxfId="736" priority="218" stopIfTrue="1" operator="lessThanOrEqual">
      <formula>0.05</formula>
    </cfRule>
    <cfRule type="cellIs" dxfId="735" priority="219" stopIfTrue="1" operator="lessThanOrEqual">
      <formula>0.1</formula>
    </cfRule>
  </conditionalFormatting>
  <conditionalFormatting sqref="B1354">
    <cfRule type="cellIs" dxfId="734" priority="220" stopIfTrue="1" operator="notBetween">
      <formula>15</formula>
      <formula>85</formula>
    </cfRule>
    <cfRule type="cellIs" dxfId="733" priority="221" stopIfTrue="1" operator="notBetween">
      <formula>25</formula>
      <formula>75</formula>
    </cfRule>
  </conditionalFormatting>
  <conditionalFormatting sqref="B1361">
    <cfRule type="cellIs" dxfId="732" priority="222" stopIfTrue="1" operator="lessThanOrEqual">
      <formula>0.05</formula>
    </cfRule>
    <cfRule type="cellIs" dxfId="731" priority="223" stopIfTrue="1" operator="lessThanOrEqual">
      <formula>0.1</formula>
    </cfRule>
  </conditionalFormatting>
  <conditionalFormatting sqref="B1371">
    <cfRule type="cellIs" dxfId="730" priority="224" stopIfTrue="1" operator="notBetween">
      <formula>15</formula>
      <formula>85</formula>
    </cfRule>
    <cfRule type="cellIs" dxfId="729" priority="225" stopIfTrue="1" operator="notBetween">
      <formula>25</formula>
      <formula>75</formula>
    </cfRule>
  </conditionalFormatting>
  <conditionalFormatting sqref="B1378">
    <cfRule type="cellIs" dxfId="728" priority="226" stopIfTrue="1" operator="lessThanOrEqual">
      <formula>0.05</formula>
    </cfRule>
    <cfRule type="cellIs" dxfId="727" priority="227" stopIfTrue="1" operator="lessThanOrEqual">
      <formula>0.1</formula>
    </cfRule>
  </conditionalFormatting>
  <conditionalFormatting sqref="B1388">
    <cfRule type="cellIs" dxfId="726" priority="228" stopIfTrue="1" operator="notBetween">
      <formula>15</formula>
      <formula>85</formula>
    </cfRule>
    <cfRule type="cellIs" dxfId="725" priority="229" stopIfTrue="1" operator="notBetween">
      <formula>25</formula>
      <formula>75</formula>
    </cfRule>
  </conditionalFormatting>
  <conditionalFormatting sqref="B1395">
    <cfRule type="cellIs" dxfId="724" priority="230" stopIfTrue="1" operator="lessThanOrEqual">
      <formula>0.05</formula>
    </cfRule>
    <cfRule type="cellIs" dxfId="723" priority="231" stopIfTrue="1" operator="lessThanOrEqual">
      <formula>0.1</formula>
    </cfRule>
  </conditionalFormatting>
  <conditionalFormatting sqref="B1405">
    <cfRule type="cellIs" dxfId="722" priority="232" stopIfTrue="1" operator="notBetween">
      <formula>15</formula>
      <formula>85</formula>
    </cfRule>
    <cfRule type="cellIs" dxfId="721" priority="233" stopIfTrue="1" operator="notBetween">
      <formula>25</formula>
      <formula>75</formula>
    </cfRule>
  </conditionalFormatting>
  <conditionalFormatting sqref="B1412">
    <cfRule type="cellIs" dxfId="720" priority="234" stopIfTrue="1" operator="lessThanOrEqual">
      <formula>0.05</formula>
    </cfRule>
    <cfRule type="cellIs" dxfId="719" priority="235" stopIfTrue="1" operator="lessThanOrEqual">
      <formula>0.1</formula>
    </cfRule>
  </conditionalFormatting>
  <conditionalFormatting sqref="B1422">
    <cfRule type="cellIs" dxfId="718" priority="236" stopIfTrue="1" operator="notBetween">
      <formula>15</formula>
      <formula>85</formula>
    </cfRule>
    <cfRule type="cellIs" dxfId="717" priority="237" stopIfTrue="1" operator="notBetween">
      <formula>25</formula>
      <formula>75</formula>
    </cfRule>
  </conditionalFormatting>
  <conditionalFormatting sqref="B1429">
    <cfRule type="cellIs" dxfId="716" priority="238" stopIfTrue="1" operator="lessThanOrEqual">
      <formula>0.05</formula>
    </cfRule>
    <cfRule type="cellIs" dxfId="715" priority="239" stopIfTrue="1" operator="lessThanOrEqual">
      <formula>0.1</formula>
    </cfRule>
  </conditionalFormatting>
  <conditionalFormatting sqref="B1439">
    <cfRule type="cellIs" dxfId="714" priority="240" stopIfTrue="1" operator="notBetween">
      <formula>15</formula>
      <formula>85</formula>
    </cfRule>
    <cfRule type="cellIs" dxfId="713" priority="241" stopIfTrue="1" operator="notBetween">
      <formula>25</formula>
      <formula>75</formula>
    </cfRule>
  </conditionalFormatting>
  <conditionalFormatting sqref="B1446">
    <cfRule type="cellIs" dxfId="712" priority="242" stopIfTrue="1" operator="lessThanOrEqual">
      <formula>0.05</formula>
    </cfRule>
    <cfRule type="cellIs" dxfId="711" priority="243" stopIfTrue="1" operator="lessThanOrEqual">
      <formula>0.1</formula>
    </cfRule>
  </conditionalFormatting>
  <conditionalFormatting sqref="B1456">
    <cfRule type="cellIs" dxfId="710" priority="244" stopIfTrue="1" operator="notBetween">
      <formula>15</formula>
      <formula>85</formula>
    </cfRule>
    <cfRule type="cellIs" dxfId="709" priority="245" stopIfTrue="1" operator="notBetween">
      <formula>25</formula>
      <formula>75</formula>
    </cfRule>
  </conditionalFormatting>
  <conditionalFormatting sqref="B1463">
    <cfRule type="cellIs" dxfId="708" priority="246" stopIfTrue="1" operator="lessThanOrEqual">
      <formula>0.05</formula>
    </cfRule>
    <cfRule type="cellIs" dxfId="707" priority="247" stopIfTrue="1" operator="lessThanOrEqual">
      <formula>0.1</formula>
    </cfRule>
  </conditionalFormatting>
  <conditionalFormatting sqref="B1473">
    <cfRule type="cellIs" dxfId="706" priority="248" stopIfTrue="1" operator="notBetween">
      <formula>15</formula>
      <formula>85</formula>
    </cfRule>
    <cfRule type="cellIs" dxfId="705" priority="249" stopIfTrue="1" operator="notBetween">
      <formula>25</formula>
      <formula>75</formula>
    </cfRule>
  </conditionalFormatting>
  <conditionalFormatting sqref="B1480">
    <cfRule type="cellIs" dxfId="704" priority="250" stopIfTrue="1" operator="lessThanOrEqual">
      <formula>0.05</formula>
    </cfRule>
    <cfRule type="cellIs" dxfId="703" priority="251" stopIfTrue="1" operator="lessThanOrEqual">
      <formula>0.1</formula>
    </cfRule>
  </conditionalFormatting>
  <conditionalFormatting sqref="B1490">
    <cfRule type="cellIs" dxfId="702" priority="252" stopIfTrue="1" operator="notBetween">
      <formula>15</formula>
      <formula>85</formula>
    </cfRule>
    <cfRule type="cellIs" dxfId="701" priority="253" stopIfTrue="1" operator="notBetween">
      <formula>25</formula>
      <formula>75</formula>
    </cfRule>
  </conditionalFormatting>
  <conditionalFormatting sqref="B1497">
    <cfRule type="cellIs" dxfId="700" priority="254" stopIfTrue="1" operator="lessThanOrEqual">
      <formula>0.05</formula>
    </cfRule>
    <cfRule type="cellIs" dxfId="699" priority="255" stopIfTrue="1" operator="lessThanOrEqual">
      <formula>0.1</formula>
    </cfRule>
  </conditionalFormatting>
  <conditionalFormatting sqref="B1507">
    <cfRule type="cellIs" dxfId="698" priority="256" stopIfTrue="1" operator="notBetween">
      <formula>15</formula>
      <formula>85</formula>
    </cfRule>
    <cfRule type="cellIs" dxfId="697" priority="257" stopIfTrue="1" operator="notBetween">
      <formula>25</formula>
      <formula>75</formula>
    </cfRule>
  </conditionalFormatting>
  <conditionalFormatting sqref="B1514">
    <cfRule type="cellIs" dxfId="696" priority="258" stopIfTrue="1" operator="lessThanOrEqual">
      <formula>0.05</formula>
    </cfRule>
    <cfRule type="cellIs" dxfId="695" priority="259" stopIfTrue="1" operator="lessThanOrEqual">
      <formula>0.1</formula>
    </cfRule>
  </conditionalFormatting>
  <conditionalFormatting sqref="B1524">
    <cfRule type="cellIs" dxfId="694" priority="260" stopIfTrue="1" operator="notBetween">
      <formula>15</formula>
      <formula>85</formula>
    </cfRule>
    <cfRule type="cellIs" dxfId="693" priority="261" stopIfTrue="1" operator="notBetween">
      <formula>25</formula>
      <formula>75</formula>
    </cfRule>
  </conditionalFormatting>
  <conditionalFormatting sqref="B1531">
    <cfRule type="cellIs" dxfId="692" priority="262" stopIfTrue="1" operator="lessThanOrEqual">
      <formula>0.05</formula>
    </cfRule>
    <cfRule type="cellIs" dxfId="691" priority="263" stopIfTrue="1" operator="lessThanOrEqual">
      <formula>0.1</formula>
    </cfRule>
  </conditionalFormatting>
  <conditionalFormatting sqref="B1541">
    <cfRule type="cellIs" dxfId="690" priority="264" stopIfTrue="1" operator="notBetween">
      <formula>15</formula>
      <formula>85</formula>
    </cfRule>
    <cfRule type="cellIs" dxfId="689" priority="265" stopIfTrue="1" operator="notBetween">
      <formula>25</formula>
      <formula>75</formula>
    </cfRule>
  </conditionalFormatting>
  <conditionalFormatting sqref="B1548">
    <cfRule type="cellIs" dxfId="688" priority="266" stopIfTrue="1" operator="lessThanOrEqual">
      <formula>0.05</formula>
    </cfRule>
    <cfRule type="cellIs" dxfId="687" priority="267" stopIfTrue="1" operator="lessThanOrEqual">
      <formula>0.1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Controller</vt:lpstr>
      <vt:lpstr>Output template</vt:lpstr>
      <vt:lpstr>123_1164 Electrical</vt:lpstr>
      <vt:lpstr>123_1164 Acoustic</vt:lpstr>
      <vt:lpstr>112_1024 Electrical</vt:lpstr>
      <vt:lpstr>112_1024 Acoustic</vt:lpstr>
      <vt:lpstr>111_142 Acoustic</vt:lpstr>
      <vt:lpstr>111_141 Acoustic</vt:lpstr>
      <vt:lpstr>111_140 Electrical</vt:lpstr>
      <vt:lpstr>111_140 Acoustic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2009-09-22T08:33:28Z</dcterms:modified>
</cp:coreProperties>
</file>