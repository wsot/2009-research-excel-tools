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420" windowWidth="18795" windowHeight="11055" activeTab="1"/>
  </bookViews>
  <sheets>
    <sheet name="Review" sheetId="12" r:id="rId1"/>
    <sheet name="All HR" sheetId="6" r:id="rId2"/>
    <sheet name="&lt;280" sheetId="1" r:id="rId3"/>
    <sheet name="280-300" sheetId="2" r:id="rId4"/>
    <sheet name="300-320" sheetId="3" r:id="rId5"/>
    <sheet name="320-340" sheetId="4" r:id="rId6"/>
    <sheet name="340-360" sheetId="5" r:id="rId7"/>
    <sheet name="&gt;360" sheetId="7" r:id="rId8"/>
  </sheets>
  <calcPr calcId="125725"/>
</workbook>
</file>

<file path=xl/calcChain.xml><?xml version="1.0" encoding="utf-8"?>
<calcChain xmlns="http://schemas.openxmlformats.org/spreadsheetml/2006/main">
  <c r="J36" i="12"/>
  <c r="A36"/>
  <c r="J19"/>
  <c r="A19"/>
  <c r="J3"/>
  <c r="A3"/>
  <c r="FF73" i="7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5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4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2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C73" i="1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U73"/>
  <c r="BV73"/>
  <c r="BW73"/>
  <c r="BX73"/>
  <c r="BY73"/>
  <c r="BZ73"/>
  <c r="CA73"/>
  <c r="CB73"/>
  <c r="CC73"/>
  <c r="CD73"/>
  <c r="CE73"/>
  <c r="CF73"/>
  <c r="CG73"/>
  <c r="CH73"/>
  <c r="CI73"/>
  <c r="CJ73"/>
  <c r="CK73"/>
  <c r="CL73"/>
  <c r="CM73"/>
  <c r="CN73"/>
  <c r="CO73"/>
  <c r="CP73"/>
  <c r="CQ73"/>
  <c r="CR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X73"/>
  <c r="DY73"/>
  <c r="DZ73"/>
  <c r="EA73"/>
  <c r="EB73"/>
  <c r="EC73"/>
  <c r="ED73"/>
  <c r="EE73"/>
  <c r="EF73"/>
  <c r="EG73"/>
  <c r="EH73"/>
  <c r="EI73"/>
  <c r="EJ73"/>
  <c r="EK73"/>
  <c r="EL73"/>
  <c r="EM73"/>
  <c r="EN73"/>
  <c r="EO73"/>
  <c r="EP73"/>
  <c r="EQ73"/>
  <c r="ER73"/>
  <c r="ES73"/>
  <c r="ET73"/>
  <c r="EU73"/>
  <c r="EV73"/>
  <c r="EW73"/>
  <c r="EX73"/>
  <c r="EY73"/>
  <c r="EZ73"/>
  <c r="FA73"/>
  <c r="FB73"/>
  <c r="FC73"/>
  <c r="FD73"/>
  <c r="FE73"/>
  <c r="FF73"/>
  <c r="B73"/>
  <c r="B74" i="7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5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4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3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C71" i="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U71"/>
  <c r="BV71"/>
  <c r="BW71"/>
  <c r="BX71"/>
  <c r="BY71"/>
  <c r="BZ71"/>
  <c r="CA71"/>
  <c r="CB71"/>
  <c r="CC71"/>
  <c r="CD71"/>
  <c r="CE71"/>
  <c r="CF71"/>
  <c r="CG71"/>
  <c r="CH71"/>
  <c r="CI71"/>
  <c r="CJ71"/>
  <c r="CK71"/>
  <c r="CL71"/>
  <c r="CM71"/>
  <c r="CN71"/>
  <c r="CO71"/>
  <c r="CP71"/>
  <c r="CQ71"/>
  <c r="CR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DX71"/>
  <c r="DY71"/>
  <c r="DZ71"/>
  <c r="EA71"/>
  <c r="EB71"/>
  <c r="EC71"/>
  <c r="ED71"/>
  <c r="EE71"/>
  <c r="EF71"/>
  <c r="EG71"/>
  <c r="EH71"/>
  <c r="EI71"/>
  <c r="EJ71"/>
  <c r="EK71"/>
  <c r="EL71"/>
  <c r="EM71"/>
  <c r="EN71"/>
  <c r="EO71"/>
  <c r="EP71"/>
  <c r="EQ71"/>
  <c r="ER71"/>
  <c r="ES71"/>
  <c r="ET71"/>
  <c r="EU71"/>
  <c r="EV71"/>
  <c r="EW71"/>
  <c r="EX71"/>
  <c r="EY71"/>
  <c r="EZ71"/>
  <c r="FA71"/>
  <c r="FB71"/>
  <c r="FC71"/>
  <c r="FD71"/>
  <c r="FE71"/>
  <c r="FF71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U72"/>
  <c r="BV72"/>
  <c r="BW72"/>
  <c r="BX72"/>
  <c r="BY72"/>
  <c r="BZ72"/>
  <c r="CA72"/>
  <c r="CB72"/>
  <c r="CC72"/>
  <c r="CD72"/>
  <c r="CE72"/>
  <c r="CF72"/>
  <c r="CG72"/>
  <c r="CH72"/>
  <c r="CI72"/>
  <c r="CJ72"/>
  <c r="CK72"/>
  <c r="CL72"/>
  <c r="CM72"/>
  <c r="CN72"/>
  <c r="CO72"/>
  <c r="CP72"/>
  <c r="CQ72"/>
  <c r="CR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DX72"/>
  <c r="DY72"/>
  <c r="DZ72"/>
  <c r="EA72"/>
  <c r="EB72"/>
  <c r="EC72"/>
  <c r="ED72"/>
  <c r="EE72"/>
  <c r="EF72"/>
  <c r="EG72"/>
  <c r="EH72"/>
  <c r="EI72"/>
  <c r="EJ72"/>
  <c r="EK72"/>
  <c r="EL72"/>
  <c r="EM72"/>
  <c r="EN72"/>
  <c r="EO72"/>
  <c r="EP72"/>
  <c r="EQ72"/>
  <c r="ER72"/>
  <c r="ES72"/>
  <c r="ET72"/>
  <c r="EU72"/>
  <c r="EV72"/>
  <c r="EW72"/>
  <c r="EX72"/>
  <c r="EY72"/>
  <c r="EZ72"/>
  <c r="FA72"/>
  <c r="FB72"/>
  <c r="FC72"/>
  <c r="FD72"/>
  <c r="FE72"/>
  <c r="FF72"/>
  <c r="B72"/>
  <c r="B71"/>
  <c r="B168" i="6"/>
  <c r="B169"/>
  <c r="B170"/>
  <c r="B74" i="1"/>
  <c r="B171" i="6"/>
</calcChain>
</file>

<file path=xl/sharedStrings.xml><?xml version="1.0" encoding="utf-8"?>
<sst xmlns="http://schemas.openxmlformats.org/spreadsheetml/2006/main" count="23" uniqueCount="13">
  <si>
    <t>Mean:</t>
  </si>
  <si>
    <t>mean</t>
  </si>
  <si>
    <t>max</t>
  </si>
  <si>
    <t>min</t>
  </si>
  <si>
    <t>mid</t>
  </si>
  <si>
    <t>15 ref 31 @ 400Hz, 9 ref 24 @ 400Hz</t>
  </si>
  <si>
    <t>&lt;280</t>
  </si>
  <si>
    <t>280-300</t>
  </si>
  <si>
    <t>300-320</t>
  </si>
  <si>
    <t>320-340</t>
  </si>
  <si>
    <t>340-360</t>
  </si>
  <si>
    <t>&gt;360</t>
  </si>
  <si>
    <t>N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</si>
</sst>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</cellStyleXfs>
  <cellXfs count="7">
    <xf numFmtId="0" fontId="0" fillId="0" borderId="0" xfId="0"/>
    <xf numFmtId="0" fontId="0" fillId="0" borderId="0" xfId="0" applyFont="1"/>
    <xf numFmtId="0" fontId="2" fillId="0" borderId="0" xfId="0" applyFont="1"/>
    <xf numFmtId="0" fontId="0" fillId="0" borderId="0" xfId="0"/>
    <xf numFmtId="0" fontId="0" fillId="0" borderId="0" xfId="0"/>
    <xf numFmtId="0" fontId="0" fillId="0" borderId="0" xfId="0" applyFont="1"/>
    <xf numFmtId="0" fontId="0" fillId="0" borderId="0" xfId="0"/>
  </cellXfs>
  <cellStyles count="4">
    <cellStyle name="Normal" xfId="0" builtinId="0"/>
    <cellStyle name="Note 2" xfId="1"/>
    <cellStyle name="Note 3" xfId="2"/>
    <cellStyle name="Note 4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'&lt;280'!$B$73:$FF$73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'&lt;280'!$B$73:$FF$73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</a:ln>
            </c:spPr>
          </c:errBars>
          <c:cat>
            <c:numRef>
              <c:f>'&lt;280'!$B$1:$FF$1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'&lt;280'!$B$71:$FF$71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46998656"/>
        <c:axId val="354063488"/>
      </c:lineChart>
      <c:catAx>
        <c:axId val="346998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54063488"/>
        <c:crosses val="autoZero"/>
        <c:auto val="1"/>
        <c:lblAlgn val="ctr"/>
        <c:lblOffset val="100"/>
        <c:tickLblSkip val="10"/>
        <c:tickMarkSkip val="10"/>
      </c:catAx>
      <c:valAx>
        <c:axId val="354063488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6998656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'280-300'!$B$73:$FF$73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'280-300'!$B$73:$FF$73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'280-300'!$B$71:$FF$71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56249600"/>
        <c:axId val="356252288"/>
      </c:lineChart>
      <c:catAx>
        <c:axId val="3562496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56252288"/>
        <c:crosses val="autoZero"/>
        <c:auto val="1"/>
        <c:lblAlgn val="ctr"/>
        <c:lblOffset val="100"/>
        <c:tickLblSkip val="10"/>
        <c:tickMarkSkip val="10"/>
      </c:catAx>
      <c:valAx>
        <c:axId val="356252288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56249600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'300-320'!$B$73:$FF$73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'300-320'!$B$73:$FF$73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'300-320'!$B$71:$FF$71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45716992"/>
        <c:axId val="345743744"/>
      </c:lineChart>
      <c:catAx>
        <c:axId val="345716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5743744"/>
        <c:crosses val="autoZero"/>
        <c:auto val="1"/>
        <c:lblAlgn val="ctr"/>
        <c:lblOffset val="100"/>
        <c:tickLblSkip val="10"/>
        <c:tickMarkSkip val="10"/>
      </c:catAx>
      <c:valAx>
        <c:axId val="345743744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5716992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'320-340'!$B$73:$FF$73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'320-340'!$B$73:$FF$73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'320-340'!$B$71:$FF$71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45858048"/>
        <c:axId val="345859968"/>
      </c:lineChart>
      <c:catAx>
        <c:axId val="3458580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5859968"/>
        <c:crosses val="autoZero"/>
        <c:auto val="1"/>
        <c:lblAlgn val="ctr"/>
        <c:lblOffset val="100"/>
        <c:tickLblSkip val="10"/>
        <c:tickMarkSkip val="10"/>
      </c:catAx>
      <c:valAx>
        <c:axId val="345859968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5858048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'340-360'!$B$73:$FF$73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'340-360'!$B$73:$FF$73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'340-360'!$B$71:$FF$71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45978368"/>
        <c:axId val="345980288"/>
      </c:lineChart>
      <c:catAx>
        <c:axId val="345978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5980288"/>
        <c:crosses val="autoZero"/>
        <c:auto val="1"/>
        <c:lblAlgn val="ctr"/>
        <c:lblOffset val="100"/>
        <c:tickLblSkip val="10"/>
        <c:tickMarkSkip val="10"/>
      </c:catAx>
      <c:valAx>
        <c:axId val="345980288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5978368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'&gt;360'!$B$73:$FF$73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'&gt;360'!$B$73:$FF$73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'&gt;360'!$B$71:$FF$71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46029056"/>
        <c:axId val="346039424"/>
      </c:lineChart>
      <c:catAx>
        <c:axId val="3460290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6039424"/>
        <c:crosses val="autoZero"/>
        <c:auto val="1"/>
        <c:lblAlgn val="ctr"/>
        <c:lblOffset val="100"/>
        <c:tickLblSkip val="10"/>
        <c:tickMarkSkip val="10"/>
      </c:catAx>
      <c:valAx>
        <c:axId val="346039424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6029056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2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'&lt;280'!$B$73:$EB$73</c:f>
                <c:numCache>
                  <c:formatCode>General</c:formatCode>
                  <c:ptCount val="13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</c:numCache>
              </c:numRef>
            </c:plus>
            <c:minus>
              <c:numRef>
                <c:f>'&lt;280'!$B$73:$EB$73</c:f>
                <c:numCache>
                  <c:formatCode>General</c:formatCode>
                  <c:ptCount val="13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</c:numCache>
              </c:numRef>
            </c:minus>
            <c:spPr>
              <a:ln w="3175">
                <a:solidFill>
                  <a:srgbClr val="808080"/>
                </a:solidFill>
                <a:prstDash val="solid"/>
              </a:ln>
            </c:spPr>
          </c:errBars>
          <c:cat>
            <c:numRef>
              <c:f>'&lt;280'!$B$1:$EB$1</c:f>
              <c:numCache>
                <c:formatCode>General</c:formatCode>
                <c:ptCount val="13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</c:numCache>
            </c:numRef>
          </c:cat>
          <c:val>
            <c:numRef>
              <c:f>'&lt;280'!$B$71:$EB$71</c:f>
              <c:numCache>
                <c:formatCode>General</c:formatCode>
                <c:ptCount val="1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</c:ser>
        <c:marker val="1"/>
        <c:axId val="346158208"/>
        <c:axId val="346160128"/>
      </c:lineChart>
      <c:catAx>
        <c:axId val="3461582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6160128"/>
        <c:crosses val="autoZero"/>
        <c:auto val="1"/>
        <c:lblAlgn val="ctr"/>
        <c:lblOffset val="100"/>
        <c:tickLblSkip val="10"/>
        <c:tickMarkSkip val="10"/>
      </c:catAx>
      <c:valAx>
        <c:axId val="346160128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6158208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2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'280-300'!$B$74:$EB$74</c:f>
                <c:numCache>
                  <c:formatCode>General</c:formatCode>
                  <c:ptCount val="131"/>
                  <c:pt idx="0">
                    <c:v>0</c:v>
                  </c:pt>
                </c:numCache>
              </c:numRef>
            </c:plus>
            <c:minus>
              <c:numRef>
                <c:f>'280-300'!$B$74:$EB$74</c:f>
                <c:numCache>
                  <c:formatCode>General</c:formatCode>
                  <c:ptCount val="131"/>
                  <c:pt idx="0">
                    <c:v>0</c:v>
                  </c:pt>
                </c:numCache>
              </c:numRef>
            </c:minus>
            <c:spPr>
              <a:ln w="3175">
                <a:solidFill>
                  <a:srgbClr val="808080"/>
                </a:solidFill>
                <a:prstDash val="solid"/>
              </a:ln>
            </c:spPr>
          </c:errBars>
          <c:cat>
            <c:numRef>
              <c:f>'&lt;280'!$B$1:$EB$1</c:f>
              <c:numCache>
                <c:formatCode>General</c:formatCode>
                <c:ptCount val="13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</c:numCache>
            </c:numRef>
          </c:cat>
          <c:val>
            <c:numRef>
              <c:f>'280-300'!$B$72:$EB$72</c:f>
              <c:numCache>
                <c:formatCode>General</c:formatCode>
                <c:ptCount val="1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</c:ser>
        <c:marker val="1"/>
        <c:axId val="346221568"/>
        <c:axId val="346363008"/>
      </c:lineChart>
      <c:catAx>
        <c:axId val="3462215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6363008"/>
        <c:crosses val="autoZero"/>
        <c:auto val="1"/>
        <c:lblAlgn val="ctr"/>
        <c:lblOffset val="100"/>
        <c:tickLblSkip val="10"/>
        <c:tickMarkSkip val="10"/>
      </c:catAx>
      <c:valAx>
        <c:axId val="346363008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46221568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304800</xdr:colOff>
      <xdr:row>14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</xdr:colOff>
      <xdr:row>0</xdr:row>
      <xdr:rowOff>28575</xdr:rowOff>
    </xdr:from>
    <xdr:to>
      <xdr:col>17</xdr:col>
      <xdr:colOff>342900</xdr:colOff>
      <xdr:row>14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16</xdr:row>
      <xdr:rowOff>9525</xdr:rowOff>
    </xdr:from>
    <xdr:to>
      <xdr:col>8</xdr:col>
      <xdr:colOff>323850</xdr:colOff>
      <xdr:row>30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17</xdr:col>
      <xdr:colOff>304800</xdr:colOff>
      <xdr:row>30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32</xdr:row>
      <xdr:rowOff>180975</xdr:rowOff>
    </xdr:from>
    <xdr:to>
      <xdr:col>8</xdr:col>
      <xdr:colOff>304800</xdr:colOff>
      <xdr:row>47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590550</xdr:colOff>
      <xdr:row>32</xdr:row>
      <xdr:rowOff>171450</xdr:rowOff>
    </xdr:from>
    <xdr:to>
      <xdr:col>17</xdr:col>
      <xdr:colOff>285750</xdr:colOff>
      <xdr:row>47</xdr:row>
      <xdr:rowOff>57150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75</xdr:row>
      <xdr:rowOff>47625</xdr:rowOff>
    </xdr:from>
    <xdr:to>
      <xdr:col>9</xdr:col>
      <xdr:colOff>428625</xdr:colOff>
      <xdr:row>89</xdr:row>
      <xdr:rowOff>123825</xdr:rowOff>
    </xdr:to>
    <xdr:graphicFrame macro="">
      <xdr:nvGraphicFramePr>
        <xdr:cNvPr id="207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81</xdr:row>
      <xdr:rowOff>133350</xdr:rowOff>
    </xdr:from>
    <xdr:to>
      <xdr:col>9</xdr:col>
      <xdr:colOff>457200</xdr:colOff>
      <xdr:row>96</xdr:row>
      <xdr:rowOff>19050</xdr:rowOff>
    </xdr:to>
    <xdr:graphicFrame macro="">
      <xdr:nvGraphicFramePr>
        <xdr:cNvPr id="105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J66"/>
  <sheetViews>
    <sheetView workbookViewId="0"/>
  </sheetViews>
  <sheetFormatPr defaultRowHeight="15"/>
  <sheetData>
    <row r="1" spans="1:10">
      <c r="A1" s="6" t="s">
        <v>6</v>
      </c>
      <c r="J1" s="6" t="s">
        <v>7</v>
      </c>
    </row>
    <row r="2" spans="1:10">
      <c r="A2" s="6" t="s">
        <v>12</v>
      </c>
      <c r="J2" s="6" t="s">
        <v>12</v>
      </c>
    </row>
    <row r="3" spans="1:10">
      <c r="A3">
        <f>COUNT('&lt;280'!A2:A69)</f>
        <v>0</v>
      </c>
      <c r="J3">
        <f>COUNT('280-300'!A2:A69)</f>
        <v>0</v>
      </c>
    </row>
    <row r="17" spans="1:10">
      <c r="A17" s="6" t="s">
        <v>8</v>
      </c>
      <c r="J17" s="6" t="s">
        <v>9</v>
      </c>
    </row>
    <row r="18" spans="1:10">
      <c r="A18" s="6" t="s">
        <v>12</v>
      </c>
      <c r="J18" s="6" t="s">
        <v>12</v>
      </c>
    </row>
    <row r="19" spans="1:10">
      <c r="A19">
        <f>COUNT('300-320'!A2:A69)</f>
        <v>0</v>
      </c>
      <c r="J19">
        <f>COUNT('320-340'!A2:A69)</f>
        <v>0</v>
      </c>
    </row>
    <row r="33" spans="1:10">
      <c r="A33" s="6"/>
    </row>
    <row r="34" spans="1:10">
      <c r="A34" s="6" t="s">
        <v>10</v>
      </c>
      <c r="J34" s="6" t="s">
        <v>11</v>
      </c>
    </row>
    <row r="35" spans="1:10">
      <c r="A35" s="6" t="s">
        <v>12</v>
      </c>
      <c r="J35" s="6" t="s">
        <v>12</v>
      </c>
    </row>
    <row r="36" spans="1:10">
      <c r="A36">
        <f>COUNT('340-360'!A2:A69)</f>
        <v>0</v>
      </c>
      <c r="J36">
        <f>COUNT('&gt;360'!A2:A69)</f>
        <v>0</v>
      </c>
    </row>
    <row r="50" spans="1:10">
      <c r="A50" s="6"/>
      <c r="J50" s="6"/>
    </row>
    <row r="66" spans="1:10">
      <c r="A66" s="6"/>
      <c r="J66" s="6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FF172"/>
  <sheetViews>
    <sheetView tabSelected="1" workbookViewId="0"/>
  </sheetViews>
  <sheetFormatPr defaultRowHeight="15"/>
  <sheetData>
    <row r="1" spans="1:162">
      <c r="A1" s="4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</row>
    <row r="2" spans="1:162">
      <c r="A2" s="4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</row>
    <row r="3" spans="1:162">
      <c r="A3" s="4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</row>
    <row r="4" spans="1:162">
      <c r="A4" s="4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</row>
    <row r="5" spans="1:162">
      <c r="A5" s="4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</row>
    <row r="6" spans="1:162">
      <c r="A6" s="4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</row>
    <row r="7" spans="1:162">
      <c r="A7" s="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</row>
    <row r="8" spans="1:162">
      <c r="A8" s="4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</row>
    <row r="9" spans="1:162">
      <c r="A9" s="4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</row>
    <row r="10" spans="1:162">
      <c r="A10" s="4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</row>
    <row r="11" spans="1:162">
      <c r="A11" s="4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</row>
    <row r="12" spans="1:162">
      <c r="A12" s="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</row>
    <row r="13" spans="1:162">
      <c r="A13" s="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</row>
    <row r="14" spans="1:162">
      <c r="A14" s="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</row>
    <row r="15" spans="1:162">
      <c r="A15" s="4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</row>
    <row r="16" spans="1:162">
      <c r="A16" s="4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</row>
    <row r="17" spans="1:162">
      <c r="A17" s="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</row>
    <row r="18" spans="1:162">
      <c r="A18" s="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</row>
    <row r="19" spans="1:162">
      <c r="A19" s="4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</row>
    <row r="20" spans="1:162">
      <c r="A20" s="4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</row>
    <row r="21" spans="1:162">
      <c r="A21" s="4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</row>
    <row r="22" spans="1:162">
      <c r="A22" s="4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</row>
    <row r="23" spans="1:162">
      <c r="A23" s="4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</row>
    <row r="24" spans="1:162">
      <c r="A24" s="4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</row>
    <row r="25" spans="1:162">
      <c r="A25" s="4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</row>
    <row r="26" spans="1:162">
      <c r="A26" s="4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</row>
    <row r="27" spans="1:162">
      <c r="A27" s="4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</row>
    <row r="28" spans="1:162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</row>
    <row r="29" spans="1:162">
      <c r="A29" s="4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</row>
    <row r="30" spans="1:162">
      <c r="A30" s="4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</row>
    <row r="31" spans="1:162">
      <c r="A31" s="4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</row>
    <row r="32" spans="1:162">
      <c r="A32" s="4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</row>
    <row r="33" spans="1:162">
      <c r="A33" s="4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</row>
    <row r="34" spans="1:162">
      <c r="A34" s="4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</row>
    <row r="35" spans="1:162">
      <c r="A35" s="4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</row>
    <row r="36" spans="1:162">
      <c r="A36" s="4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</row>
    <row r="37" spans="1:162">
      <c r="A37" s="4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</row>
    <row r="38" spans="1:162">
      <c r="A38" s="4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</row>
    <row r="39" spans="1:162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</row>
    <row r="40" spans="1:162">
      <c r="A40" s="4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</row>
    <row r="41" spans="1:162">
      <c r="A41" s="4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</row>
    <row r="42" spans="1:162">
      <c r="A42" s="4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</row>
    <row r="43" spans="1:162">
      <c r="A43" s="4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</row>
    <row r="44" spans="1:162">
      <c r="A44" s="4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</row>
    <row r="45" spans="1:162">
      <c r="A45" s="4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</row>
    <row r="46" spans="1:162">
      <c r="A46" s="4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</row>
    <row r="47" spans="1:162">
      <c r="A47" s="4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</row>
    <row r="48" spans="1:162">
      <c r="A48" s="4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</row>
    <row r="60" spans="1:13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</row>
    <row r="61" spans="1:13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</row>
    <row r="62" spans="1:13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</row>
    <row r="63" spans="1:13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</row>
    <row r="64" spans="1:13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</row>
    <row r="65" spans="1:13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</row>
    <row r="66" spans="1:13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</row>
    <row r="67" spans="1:13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</row>
    <row r="68" spans="1:13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</row>
    <row r="69" spans="1:13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</row>
    <row r="70" spans="1:13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</row>
    <row r="71" spans="1:13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</row>
    <row r="72" spans="1:13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</row>
    <row r="73" spans="1:13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</row>
    <row r="74" spans="1:13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</row>
    <row r="75" spans="1:13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</row>
    <row r="76" spans="1:13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</row>
    <row r="77" spans="1:13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</row>
    <row r="78" spans="1:13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</row>
    <row r="79" spans="1:13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</row>
    <row r="80" spans="1:13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</row>
    <row r="81" spans="1:13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</row>
    <row r="82" spans="1:13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</row>
    <row r="168" spans="1:2">
      <c r="A168" t="s">
        <v>1</v>
      </c>
      <c r="B168" t="e">
        <f>AVERAGE(A1:A166)</f>
        <v>#DIV/0!</v>
      </c>
    </row>
    <row r="169" spans="1:2">
      <c r="A169" t="s">
        <v>2</v>
      </c>
      <c r="B169">
        <f>MAX(A1:A166)</f>
        <v>0</v>
      </c>
    </row>
    <row r="170" spans="1:2">
      <c r="A170" t="s">
        <v>3</v>
      </c>
      <c r="B170">
        <f>MIN(A1:A166)</f>
        <v>0</v>
      </c>
    </row>
    <row r="171" spans="1:2">
      <c r="A171" t="s">
        <v>4</v>
      </c>
      <c r="B171">
        <f>(B169+B170)/2</f>
        <v>0</v>
      </c>
    </row>
    <row r="172" spans="1:2">
      <c r="A172" s="2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F74"/>
  <sheetViews>
    <sheetView topLeftCell="A36" workbookViewId="0">
      <selection activeCell="EN73" sqref="EN73"/>
    </sheetView>
  </sheetViews>
  <sheetFormatPr defaultRowHeight="15"/>
  <sheetData>
    <row r="1" spans="1:162">
      <c r="B1" s="5">
        <v>-8</v>
      </c>
      <c r="C1" s="5">
        <v>-7.9</v>
      </c>
      <c r="D1" s="5">
        <v>-7.8</v>
      </c>
      <c r="E1" s="5">
        <v>-7.7</v>
      </c>
      <c r="F1" s="5">
        <v>-7.6</v>
      </c>
      <c r="G1" s="5">
        <v>-7.5</v>
      </c>
      <c r="H1" s="5">
        <v>-7.4</v>
      </c>
      <c r="I1" s="5">
        <v>-7.3</v>
      </c>
      <c r="J1" s="5">
        <v>-7.2</v>
      </c>
      <c r="K1" s="5">
        <v>-7.1</v>
      </c>
      <c r="L1" s="5">
        <v>-7</v>
      </c>
      <c r="M1" s="5">
        <v>-6.9</v>
      </c>
      <c r="N1" s="5">
        <v>-6.8</v>
      </c>
      <c r="O1" s="5">
        <v>-6.7</v>
      </c>
      <c r="P1" s="5">
        <v>-6.6</v>
      </c>
      <c r="Q1" s="5">
        <v>-6.5</v>
      </c>
      <c r="R1" s="5">
        <v>-6.4</v>
      </c>
      <c r="S1" s="5">
        <v>-6.3</v>
      </c>
      <c r="T1" s="5">
        <v>-6.2</v>
      </c>
      <c r="U1" s="5">
        <v>-6.1</v>
      </c>
      <c r="V1" s="5">
        <v>-6</v>
      </c>
      <c r="W1" s="5">
        <v>-5.9</v>
      </c>
      <c r="X1" s="5">
        <v>-5.8</v>
      </c>
      <c r="Y1" s="5">
        <v>-5.7</v>
      </c>
      <c r="Z1" s="5">
        <v>-5.6</v>
      </c>
      <c r="AA1" s="5">
        <v>-5.5</v>
      </c>
      <c r="AB1" s="5">
        <v>-5.4</v>
      </c>
      <c r="AC1" s="5">
        <v>-5.3</v>
      </c>
      <c r="AD1" s="5">
        <v>-5.2</v>
      </c>
      <c r="AE1" s="5">
        <v>-5.0999999999999996</v>
      </c>
      <c r="AF1" s="5">
        <v>-5</v>
      </c>
      <c r="AG1" s="5">
        <v>-4.9000000000000004</v>
      </c>
      <c r="AH1" s="5">
        <v>-4.8</v>
      </c>
      <c r="AI1" s="5">
        <v>-4.7</v>
      </c>
      <c r="AJ1" s="5">
        <v>-4.5999999999999996</v>
      </c>
      <c r="AK1" s="5">
        <v>-4.5</v>
      </c>
      <c r="AL1" s="5">
        <v>-4.4000000000000004</v>
      </c>
      <c r="AM1" s="5">
        <v>-4.3</v>
      </c>
      <c r="AN1" s="5">
        <v>-4.2</v>
      </c>
      <c r="AO1" s="5">
        <v>-4.0999999999999996</v>
      </c>
      <c r="AP1" s="5">
        <v>-4</v>
      </c>
      <c r="AQ1" s="5">
        <v>-3.9</v>
      </c>
      <c r="AR1" s="5">
        <v>-3.8</v>
      </c>
      <c r="AS1" s="5">
        <v>-3.7</v>
      </c>
      <c r="AT1" s="5">
        <v>-3.6</v>
      </c>
      <c r="AU1" s="5">
        <v>-3.5</v>
      </c>
      <c r="AV1" s="5">
        <v>-3.4</v>
      </c>
      <c r="AW1" s="5">
        <v>-3.3</v>
      </c>
      <c r="AX1" s="5">
        <v>-3.2</v>
      </c>
      <c r="AY1" s="5">
        <v>-3.1</v>
      </c>
      <c r="AZ1" s="5">
        <v>-3</v>
      </c>
      <c r="BA1" s="5">
        <v>-2.9</v>
      </c>
      <c r="BB1" s="5">
        <v>-2.8</v>
      </c>
      <c r="BC1" s="5">
        <v>-2.7</v>
      </c>
      <c r="BD1" s="5">
        <v>-2.6</v>
      </c>
      <c r="BE1" s="5">
        <v>-2.5</v>
      </c>
      <c r="BF1" s="5">
        <v>-2.4</v>
      </c>
      <c r="BG1" s="5">
        <v>-2.2999999999999998</v>
      </c>
      <c r="BH1" s="5">
        <v>-2.2000000000000002</v>
      </c>
      <c r="BI1" s="5">
        <v>-2.1</v>
      </c>
      <c r="BJ1" s="5">
        <v>-2</v>
      </c>
      <c r="BK1" s="5">
        <v>-1.9</v>
      </c>
      <c r="BL1" s="5">
        <v>-1.8</v>
      </c>
      <c r="BM1" s="5">
        <v>-1.7</v>
      </c>
      <c r="BN1" s="5">
        <v>-1.6</v>
      </c>
      <c r="BO1" s="5">
        <v>-1.5</v>
      </c>
      <c r="BP1" s="5">
        <v>-1.4</v>
      </c>
      <c r="BQ1" s="5">
        <v>-1.3</v>
      </c>
      <c r="BR1" s="5">
        <v>-1.2</v>
      </c>
      <c r="BS1" s="5">
        <v>-1.1000000000000001</v>
      </c>
      <c r="BT1" s="5">
        <v>-1</v>
      </c>
      <c r="BU1" s="5">
        <v>-0.9</v>
      </c>
      <c r="BV1" s="5">
        <v>-0.8</v>
      </c>
      <c r="BW1" s="5">
        <v>-0.7</v>
      </c>
      <c r="BX1" s="5">
        <v>-0.6</v>
      </c>
      <c r="BY1" s="5">
        <v>-0.5</v>
      </c>
      <c r="BZ1" s="5">
        <v>-0.4</v>
      </c>
      <c r="CA1" s="5">
        <v>-0.3</v>
      </c>
      <c r="CB1" s="5">
        <v>-0.2</v>
      </c>
      <c r="CC1" s="5">
        <v>-0.1</v>
      </c>
      <c r="CD1" s="5">
        <v>0</v>
      </c>
      <c r="CE1" s="5">
        <v>0.1</v>
      </c>
      <c r="CF1" s="5">
        <v>0.2</v>
      </c>
      <c r="CG1" s="5">
        <v>0.3</v>
      </c>
      <c r="CH1" s="5">
        <v>0.4</v>
      </c>
      <c r="CI1" s="5">
        <v>0.5</v>
      </c>
      <c r="CJ1" s="5">
        <v>0.6</v>
      </c>
      <c r="CK1" s="5">
        <v>0.7</v>
      </c>
      <c r="CL1" s="5">
        <v>0.8</v>
      </c>
      <c r="CM1" s="5">
        <v>0.9</v>
      </c>
      <c r="CN1" s="5">
        <v>1</v>
      </c>
      <c r="CO1" s="5">
        <v>1.1000000000000001</v>
      </c>
      <c r="CP1" s="5">
        <v>1.2</v>
      </c>
      <c r="CQ1" s="5">
        <v>1.3</v>
      </c>
      <c r="CR1" s="5">
        <v>1.4</v>
      </c>
      <c r="CS1" s="5">
        <v>1.5</v>
      </c>
      <c r="CT1" s="5">
        <v>1.6</v>
      </c>
      <c r="CU1" s="5">
        <v>1.7</v>
      </c>
      <c r="CV1" s="5">
        <v>1.8</v>
      </c>
      <c r="CW1" s="5">
        <v>1.9</v>
      </c>
      <c r="CX1" s="5">
        <v>2</v>
      </c>
      <c r="CY1" s="5">
        <v>2.1</v>
      </c>
      <c r="CZ1" s="5">
        <v>2.2000000000000002</v>
      </c>
      <c r="DA1" s="5">
        <v>2.2999999999999998</v>
      </c>
      <c r="DB1" s="5">
        <v>2.4</v>
      </c>
      <c r="DC1" s="5">
        <v>2.5</v>
      </c>
      <c r="DD1" s="5">
        <v>2.6</v>
      </c>
      <c r="DE1" s="5">
        <v>2.7</v>
      </c>
      <c r="DF1" s="5">
        <v>2.8</v>
      </c>
      <c r="DG1" s="5">
        <v>2.9</v>
      </c>
      <c r="DH1" s="5">
        <v>3</v>
      </c>
      <c r="DI1" s="5">
        <v>3.1</v>
      </c>
      <c r="DJ1" s="5">
        <v>3.2</v>
      </c>
      <c r="DK1" s="5">
        <v>3.3</v>
      </c>
      <c r="DL1" s="5">
        <v>3.4</v>
      </c>
      <c r="DM1" s="5">
        <v>3.5</v>
      </c>
      <c r="DN1" s="5">
        <v>3.6</v>
      </c>
      <c r="DO1" s="5">
        <v>3.7</v>
      </c>
      <c r="DP1" s="5">
        <v>3.8</v>
      </c>
      <c r="DQ1" s="5">
        <v>3.9</v>
      </c>
      <c r="DR1" s="5">
        <v>4</v>
      </c>
      <c r="DS1" s="5">
        <v>4.0999999999999996</v>
      </c>
      <c r="DT1" s="5">
        <v>4.2</v>
      </c>
      <c r="DU1" s="5">
        <v>4.3</v>
      </c>
      <c r="DV1" s="5">
        <v>4.4000000000000004</v>
      </c>
      <c r="DW1" s="5">
        <v>4.5</v>
      </c>
      <c r="DX1" s="5">
        <v>4.5999999999999996</v>
      </c>
      <c r="DY1" s="5">
        <v>4.7</v>
      </c>
      <c r="DZ1" s="5">
        <v>4.8</v>
      </c>
      <c r="EA1" s="5">
        <v>4.9000000000000004</v>
      </c>
      <c r="EB1" s="5">
        <v>5</v>
      </c>
      <c r="EC1" s="5">
        <v>5.0999999999999996</v>
      </c>
      <c r="ED1" s="5">
        <v>5.2</v>
      </c>
      <c r="EE1" s="5">
        <v>5.3</v>
      </c>
      <c r="EF1" s="5">
        <v>5.4</v>
      </c>
      <c r="EG1" s="5">
        <v>5.5</v>
      </c>
      <c r="EH1" s="5">
        <v>5.6</v>
      </c>
      <c r="EI1" s="5">
        <v>5.7</v>
      </c>
      <c r="EJ1" s="5">
        <v>5.8</v>
      </c>
      <c r="EK1" s="5">
        <v>5.9</v>
      </c>
      <c r="EL1" s="5">
        <v>6</v>
      </c>
      <c r="EM1" s="5">
        <v>6.1</v>
      </c>
      <c r="EN1" s="5">
        <v>6.2</v>
      </c>
      <c r="EO1" s="5">
        <v>6.3</v>
      </c>
      <c r="EP1" s="5">
        <v>6.4</v>
      </c>
      <c r="EQ1" s="5">
        <v>6.5</v>
      </c>
      <c r="ER1" s="5">
        <v>6.6</v>
      </c>
      <c r="ES1" s="5">
        <v>6.7</v>
      </c>
      <c r="ET1" s="5">
        <v>6.8</v>
      </c>
      <c r="EU1" s="5">
        <v>6.9</v>
      </c>
      <c r="EV1" s="5">
        <v>7</v>
      </c>
      <c r="EW1" s="5">
        <v>7.1</v>
      </c>
      <c r="EX1" s="5">
        <v>7.2</v>
      </c>
      <c r="EY1" s="5">
        <v>7.3</v>
      </c>
      <c r="EZ1" s="5">
        <v>7.4</v>
      </c>
      <c r="FA1" s="5">
        <v>7.5</v>
      </c>
      <c r="FB1" s="5">
        <v>7.6</v>
      </c>
      <c r="FC1" s="5">
        <v>7.7</v>
      </c>
      <c r="FD1" s="5">
        <v>7.8</v>
      </c>
      <c r="FE1" s="5">
        <v>7.9</v>
      </c>
      <c r="FF1" s="5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</row>
    <row r="60" spans="1:13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</row>
    <row r="61" spans="1:13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</row>
    <row r="62" spans="1:13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</row>
    <row r="63" spans="1:13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</row>
    <row r="64" spans="1:13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</row>
    <row r="65" spans="1:16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</row>
    <row r="66" spans="1:16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</row>
    <row r="67" spans="1:16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</row>
    <row r="68" spans="1:16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</row>
    <row r="69" spans="1:16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</row>
    <row r="71" spans="1:162"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t="s">
        <v>0</v>
      </c>
      <c r="B74" t="e">
        <f>AVERAGE(A2:A69)</f>
        <v>#DIV/0!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</row>
    <row r="60" spans="1:13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</row>
    <row r="61" spans="1:13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</row>
    <row r="62" spans="1:13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</row>
    <row r="63" spans="1:13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</row>
    <row r="64" spans="1:13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</row>
    <row r="65" spans="1:16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</row>
    <row r="66" spans="1:16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</row>
    <row r="67" spans="1:16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</row>
    <row r="68" spans="1:16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</row>
    <row r="69" spans="1:16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</row>
    <row r="70" spans="1:16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FV74"/>
  <sheetViews>
    <sheetView topLeftCell="A36" workbookViewId="0">
      <selection activeCell="B73" sqref="B73:FF73"/>
    </sheetView>
  </sheetViews>
  <sheetFormatPr defaultRowHeight="15"/>
  <sheetData>
    <row r="1" spans="1:178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</row>
    <row r="2" spans="1:178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78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78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78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78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78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78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78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78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7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7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7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7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7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7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</row>
    <row r="60" spans="1:132">
      <c r="A60" s="1"/>
    </row>
    <row r="61" spans="1:132">
      <c r="A61" s="1"/>
    </row>
    <row r="62" spans="1:132">
      <c r="A62" s="1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Review</vt:lpstr>
      <vt:lpstr>All HR</vt:lpstr>
      <vt:lpstr>&lt;280</vt:lpstr>
      <vt:lpstr>280-300</vt:lpstr>
      <vt:lpstr>300-320</vt:lpstr>
      <vt:lpstr>320-340</vt:lpstr>
      <vt:lpstr>340-360</vt:lpstr>
      <vt:lpstr>&gt;360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Simeon Morgan</cp:lastModifiedBy>
  <dcterms:created xsi:type="dcterms:W3CDTF">2009-11-19T00:49:12Z</dcterms:created>
  <dcterms:modified xsi:type="dcterms:W3CDTF">2009-11-27T05:34:11Z</dcterms:modified>
</cp:coreProperties>
</file>