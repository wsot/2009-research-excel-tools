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420" windowWidth="18795" windowHeight="11055"/>
  </bookViews>
  <sheets>
    <sheet name="Review normalised" sheetId="13" r:id="rId1"/>
    <sheet name="Review raw HR" sheetId="12" r:id="rId2"/>
    <sheet name="All HR" sheetId="6" r:id="rId3"/>
    <sheet name="&lt;280" sheetId="1" r:id="rId4"/>
    <sheet name="280-300" sheetId="2" r:id="rId5"/>
    <sheet name="300-320" sheetId="3" r:id="rId6"/>
    <sheet name="320-340" sheetId="4" r:id="rId7"/>
    <sheet name="340-360" sheetId="5" r:id="rId8"/>
    <sheet name="&gt;360" sheetId="7" r:id="rId9"/>
  </sheets>
  <calcPr calcId="125725"/>
</workbook>
</file>

<file path=xl/calcChain.xml><?xml version="1.0" encoding="utf-8"?>
<calcChain xmlns="http://schemas.openxmlformats.org/spreadsheetml/2006/main">
  <c r="J38" i="13"/>
  <c r="A38"/>
  <c r="J36"/>
  <c r="A36"/>
  <c r="J21"/>
  <c r="A21"/>
  <c r="J19"/>
  <c r="A19"/>
  <c r="J5"/>
  <c r="A5"/>
  <c r="J3"/>
  <c r="A3"/>
  <c r="J38" i="12"/>
  <c r="J21"/>
  <c r="A21"/>
  <c r="J5"/>
  <c r="A5"/>
  <c r="A38"/>
  <c r="J36"/>
  <c r="A36"/>
  <c r="J19"/>
  <c r="A19"/>
  <c r="J3"/>
  <c r="A3"/>
  <c r="FF73" i="7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5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4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FF73" i="2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C73" i="1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U73"/>
  <c r="BV73"/>
  <c r="BW73"/>
  <c r="BX73"/>
  <c r="BY73"/>
  <c r="BZ73"/>
  <c r="CA73"/>
  <c r="CB73"/>
  <c r="CC73"/>
  <c r="CD73"/>
  <c r="CE73"/>
  <c r="CF73"/>
  <c r="CG73"/>
  <c r="CH73"/>
  <c r="CI73"/>
  <c r="CJ73"/>
  <c r="CK73"/>
  <c r="CL73"/>
  <c r="CM73"/>
  <c r="CN73"/>
  <c r="CO73"/>
  <c r="CP73"/>
  <c r="CQ73"/>
  <c r="CR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X73"/>
  <c r="DY73"/>
  <c r="DZ73"/>
  <c r="EA73"/>
  <c r="EB73"/>
  <c r="EC73"/>
  <c r="ED73"/>
  <c r="EE73"/>
  <c r="EF73"/>
  <c r="EG73"/>
  <c r="EH73"/>
  <c r="EI73"/>
  <c r="EJ73"/>
  <c r="EK73"/>
  <c r="EL73"/>
  <c r="EM73"/>
  <c r="EN73"/>
  <c r="EO73"/>
  <c r="EP73"/>
  <c r="EQ73"/>
  <c r="ER73"/>
  <c r="ES73"/>
  <c r="ET73"/>
  <c r="EU73"/>
  <c r="EV73"/>
  <c r="EW73"/>
  <c r="EX73"/>
  <c r="EY73"/>
  <c r="EZ73"/>
  <c r="FA73"/>
  <c r="FB73"/>
  <c r="FC73"/>
  <c r="FD73"/>
  <c r="FE73"/>
  <c r="FF73"/>
  <c r="B73"/>
  <c r="B74" i="7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5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4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3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B74" i="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C71" i="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U71"/>
  <c r="BV71"/>
  <c r="BW71"/>
  <c r="BX71"/>
  <c r="BY71"/>
  <c r="BZ71"/>
  <c r="CA71"/>
  <c r="CB71"/>
  <c r="CC71"/>
  <c r="CD71"/>
  <c r="CE71"/>
  <c r="CF71"/>
  <c r="CG71"/>
  <c r="CH71"/>
  <c r="CI71"/>
  <c r="CJ71"/>
  <c r="CK71"/>
  <c r="CL71"/>
  <c r="CM71"/>
  <c r="CN71"/>
  <c r="CO71"/>
  <c r="CP71"/>
  <c r="CQ71"/>
  <c r="CR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DX71"/>
  <c r="DY71"/>
  <c r="DZ71"/>
  <c r="EA71"/>
  <c r="EB71"/>
  <c r="EC71"/>
  <c r="ED71"/>
  <c r="EE71"/>
  <c r="EF71"/>
  <c r="EG71"/>
  <c r="EH71"/>
  <c r="EI71"/>
  <c r="EJ71"/>
  <c r="EK71"/>
  <c r="EL71"/>
  <c r="EM71"/>
  <c r="EN71"/>
  <c r="EO71"/>
  <c r="EP71"/>
  <c r="EQ71"/>
  <c r="ER71"/>
  <c r="ES71"/>
  <c r="ET71"/>
  <c r="EU71"/>
  <c r="EV71"/>
  <c r="EW71"/>
  <c r="EX71"/>
  <c r="EY71"/>
  <c r="EZ71"/>
  <c r="FA71"/>
  <c r="FB71"/>
  <c r="FC71"/>
  <c r="FD71"/>
  <c r="FE71"/>
  <c r="FF71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U72"/>
  <c r="BV72"/>
  <c r="BW72"/>
  <c r="BX72"/>
  <c r="BY72"/>
  <c r="BZ72"/>
  <c r="CA72"/>
  <c r="CB72"/>
  <c r="CC72"/>
  <c r="CD72"/>
  <c r="CE72"/>
  <c r="CF72"/>
  <c r="CG72"/>
  <c r="CH72"/>
  <c r="CI72"/>
  <c r="CJ72"/>
  <c r="CK72"/>
  <c r="CL72"/>
  <c r="CM72"/>
  <c r="CN72"/>
  <c r="CO72"/>
  <c r="CP72"/>
  <c r="CQ72"/>
  <c r="CR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DX72"/>
  <c r="DY72"/>
  <c r="DZ72"/>
  <c r="EA72"/>
  <c r="EB72"/>
  <c r="EC72"/>
  <c r="ED72"/>
  <c r="EE72"/>
  <c r="EF72"/>
  <c r="EG72"/>
  <c r="EH72"/>
  <c r="EI72"/>
  <c r="EJ72"/>
  <c r="EK72"/>
  <c r="EL72"/>
  <c r="EM72"/>
  <c r="EN72"/>
  <c r="EO72"/>
  <c r="EP72"/>
  <c r="EQ72"/>
  <c r="ER72"/>
  <c r="ES72"/>
  <c r="ET72"/>
  <c r="EU72"/>
  <c r="EV72"/>
  <c r="EW72"/>
  <c r="EX72"/>
  <c r="EY72"/>
  <c r="EZ72"/>
  <c r="FA72"/>
  <c r="FB72"/>
  <c r="FC72"/>
  <c r="FD72"/>
  <c r="FE72"/>
  <c r="FF72"/>
  <c r="B72"/>
  <c r="B71"/>
  <c r="B168" i="6"/>
  <c r="B169"/>
  <c r="B170"/>
  <c r="B74" i="1"/>
  <c r="B171" i="6"/>
</calcChain>
</file>

<file path=xl/sharedStrings.xml><?xml version="1.0" encoding="utf-8"?>
<sst xmlns="http://schemas.openxmlformats.org/spreadsheetml/2006/main" count="47" uniqueCount="14">
  <si>
    <t>Mean:</t>
  </si>
  <si>
    <t>mean</t>
  </si>
  <si>
    <t>max</t>
  </si>
  <si>
    <t>min</t>
  </si>
  <si>
    <t>mid</t>
  </si>
  <si>
    <t>15 ref 31 @ 400Hz, 9 ref 24 @ 400Hz</t>
  </si>
  <si>
    <t>&lt;280</t>
  </si>
  <si>
    <t>280-300</t>
  </si>
  <si>
    <t>300-320</t>
  </si>
  <si>
    <t>320-340</t>
  </si>
  <si>
    <t>340-360</t>
  </si>
  <si>
    <t>&gt;360</t>
  </si>
  <si>
    <t>N</t>
  </si>
  <si>
    <t>M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</si>
</sst>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">
    <xf numFmtId="0" fontId="0" fillId="0" borderId="0"/>
    <xf numFmtId="0" fontId="1" fillId="2" borderId="1" applyNumberFormat="0" applyFont="0" applyAlignment="0" applyProtection="0"/>
    <xf numFmtId="0" fontId="1" fillId="2" borderId="1" applyNumberFormat="0" applyFont="0" applyAlignment="0" applyProtection="0"/>
    <xf numFmtId="0" fontId="1" fillId="2" borderId="1" applyNumberFormat="0" applyFont="0" applyAlignment="0" applyProtection="0"/>
  </cellStyleXfs>
  <cellXfs count="7">
    <xf numFmtId="0" fontId="0" fillId="0" borderId="0" xfId="0"/>
    <xf numFmtId="0" fontId="0" fillId="0" borderId="0" xfId="0" applyFont="1"/>
    <xf numFmtId="0" fontId="2" fillId="0" borderId="0" xfId="0" applyFont="1"/>
    <xf numFmtId="0" fontId="0" fillId="0" borderId="0" xfId="0"/>
    <xf numFmtId="0" fontId="0" fillId="0" borderId="0" xfId="0"/>
    <xf numFmtId="0" fontId="0" fillId="0" borderId="0" xfId="0" applyFont="1"/>
    <xf numFmtId="0" fontId="0" fillId="0" borderId="0" xfId="0"/>
  </cellXfs>
  <cellStyles count="4">
    <cellStyle name="Normal" xfId="0" builtinId="0"/>
    <cellStyle name="Note 2" xfId="1"/>
    <cellStyle name="Note 3" xfId="2"/>
    <cellStyle name="Note 4" xfId="3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'&lt;280'!$B$73:$FF$73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'&lt;280'!$B$1:$FF$1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'&lt;280'!$B$71:$FF$71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20522880"/>
        <c:axId val="318833408"/>
      </c:lineChart>
      <c:catAx>
        <c:axId val="3205228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18833408"/>
        <c:crossesAt val="1"/>
        <c:auto val="1"/>
        <c:lblAlgn val="ctr"/>
        <c:lblOffset val="100"/>
        <c:tickLblSkip val="10"/>
        <c:tickMarkSkip val="10"/>
      </c:catAx>
      <c:valAx>
        <c:axId val="318833408"/>
        <c:scaling>
          <c:orientation val="minMax"/>
          <c:max val="1.3"/>
          <c:min val="0.70000000000000007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2052288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'280-300'!$B$73:$FF$73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'280-300'!$B$73:$FF$73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'280-300'!$B$71:$FF$71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19795584"/>
        <c:axId val="319797504"/>
      </c:lineChart>
      <c:catAx>
        <c:axId val="31979558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19797504"/>
        <c:crossesAt val="1"/>
        <c:auto val="1"/>
        <c:lblAlgn val="ctr"/>
        <c:lblOffset val="100"/>
        <c:tickLblSkip val="10"/>
        <c:tickMarkSkip val="10"/>
      </c:catAx>
      <c:valAx>
        <c:axId val="319797504"/>
        <c:scaling>
          <c:orientation val="minMax"/>
          <c:max val="1.3"/>
          <c:min val="0.70000000000000007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1979558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'300-320'!$B$73:$FF$73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'300-320'!$B$73:$FF$73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'300-320'!$B$71:$FF$71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20632704"/>
        <c:axId val="320651264"/>
      </c:lineChart>
      <c:catAx>
        <c:axId val="3206327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20651264"/>
        <c:crossesAt val="1"/>
        <c:auto val="1"/>
        <c:lblAlgn val="ctr"/>
        <c:lblOffset val="100"/>
        <c:tickLblSkip val="10"/>
        <c:tickMarkSkip val="10"/>
      </c:catAx>
      <c:valAx>
        <c:axId val="320651264"/>
        <c:scaling>
          <c:orientation val="minMax"/>
          <c:max val="1.3"/>
          <c:min val="0.70000000000000007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206327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'320-340'!$B$73:$FF$73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'320-340'!$B$73:$FF$73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'320-340'!$B$71:$FF$71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19442304"/>
        <c:axId val="319456768"/>
      </c:lineChart>
      <c:catAx>
        <c:axId val="3194423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19456768"/>
        <c:crossesAt val="1"/>
        <c:auto val="1"/>
        <c:lblAlgn val="ctr"/>
        <c:lblOffset val="100"/>
        <c:tickLblSkip val="10"/>
        <c:tickMarkSkip val="10"/>
      </c:catAx>
      <c:valAx>
        <c:axId val="319456768"/>
        <c:scaling>
          <c:orientation val="minMax"/>
          <c:max val="1.3"/>
          <c:min val="0.70000000000000007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194423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'340-360'!$B$73:$FF$73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'340-360'!$B$73:$FF$73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'340-360'!$B$71:$FF$71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20148992"/>
        <c:axId val="320150912"/>
      </c:lineChart>
      <c:catAx>
        <c:axId val="3201489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20150912"/>
        <c:crossesAt val="1"/>
        <c:auto val="1"/>
        <c:lblAlgn val="ctr"/>
        <c:lblOffset val="100"/>
        <c:tickLblSkip val="10"/>
        <c:tickMarkSkip val="10"/>
      </c:catAx>
      <c:valAx>
        <c:axId val="320150912"/>
        <c:scaling>
          <c:orientation val="minMax"/>
          <c:max val="1.3"/>
          <c:min val="0.70000000000000007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201489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'&gt;360'!$B$73:$FF$73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'&gt;360'!$B$73:$FF$73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'&gt;360'!$B$71:$FF$71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320191488"/>
        <c:axId val="320201856"/>
      </c:lineChart>
      <c:catAx>
        <c:axId val="3201914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20201856"/>
        <c:crossesAt val="1"/>
        <c:auto val="1"/>
        <c:lblAlgn val="ctr"/>
        <c:lblOffset val="100"/>
        <c:tickLblSkip val="10"/>
        <c:tickMarkSkip val="10"/>
      </c:catAx>
      <c:valAx>
        <c:axId val="320201856"/>
        <c:scaling>
          <c:orientation val="minMax"/>
          <c:max val="1.3"/>
          <c:min val="0.70000000000000007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3201914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'&lt;280'!$B$73:$FF$73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</a:ln>
            </c:spPr>
          </c:errBars>
          <c:cat>
            <c:numRef>
              <c:f>'&lt;280'!$B$1:$FF$1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'&lt;280'!$B$71:$FF$71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95006848"/>
        <c:axId val="195009152"/>
      </c:lineChart>
      <c:catAx>
        <c:axId val="1950068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95009152"/>
        <c:crosses val="autoZero"/>
        <c:auto val="1"/>
        <c:lblAlgn val="ctr"/>
        <c:lblOffset val="100"/>
        <c:tickLblSkip val="10"/>
        <c:tickMarkSkip val="10"/>
      </c:catAx>
      <c:valAx>
        <c:axId val="19500915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9500684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'280-300'!$B$73:$FF$73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'280-300'!$B$73:$FF$73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'280-300'!$B$71:$FF$71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86915072"/>
        <c:axId val="186945920"/>
      </c:lineChart>
      <c:catAx>
        <c:axId val="1869150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6945920"/>
        <c:crosses val="autoZero"/>
        <c:auto val="1"/>
        <c:lblAlgn val="ctr"/>
        <c:lblOffset val="100"/>
        <c:tickLblSkip val="10"/>
        <c:tickMarkSkip val="10"/>
      </c:catAx>
      <c:valAx>
        <c:axId val="186945920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8691507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'300-320'!$B$73:$FF$73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'300-320'!$B$73:$FF$73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chemeClr val="bg1">
                    <a:lumMod val="50000"/>
                  </a:schemeClr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'300-320'!$B$71:$FF$71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78941952"/>
        <c:axId val="178943872"/>
      </c:lineChart>
      <c:catAx>
        <c:axId val="17894195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8943872"/>
        <c:crosses val="autoZero"/>
        <c:auto val="1"/>
        <c:lblAlgn val="ctr"/>
        <c:lblOffset val="100"/>
        <c:tickLblSkip val="10"/>
        <c:tickMarkSkip val="10"/>
      </c:catAx>
      <c:valAx>
        <c:axId val="17894387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894195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'320-340'!$B$73:$FF$73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'320-340'!$B$73:$FF$73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'320-340'!$B$71:$FF$71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79021312"/>
        <c:axId val="179023232"/>
      </c:lineChart>
      <c:catAx>
        <c:axId val="1790213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023232"/>
        <c:crosses val="autoZero"/>
        <c:auto val="1"/>
        <c:lblAlgn val="ctr"/>
        <c:lblOffset val="100"/>
        <c:tickLblSkip val="10"/>
        <c:tickMarkSkip val="10"/>
      </c:catAx>
      <c:valAx>
        <c:axId val="179023232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021312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'340-360'!$B$73:$FF$73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'340-360'!$B$73:$FF$73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'340-360'!$B$71:$FF$71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78871296"/>
        <c:axId val="178889856"/>
      </c:lineChart>
      <c:catAx>
        <c:axId val="178871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8889856"/>
        <c:crosses val="autoZero"/>
        <c:auto val="1"/>
        <c:lblAlgn val="ctr"/>
        <c:lblOffset val="100"/>
        <c:tickLblSkip val="10"/>
        <c:tickMarkSkip val="10"/>
      </c:catAx>
      <c:valAx>
        <c:axId val="178889856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8871296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'&gt;360'!$B$73:$FF$73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plus>
            <c:minus>
              <c:numRef>
                <c:f>'&gt;360'!$B$73:$FF$73</c:f>
                <c:numCache>
                  <c:formatCode>General</c:formatCode>
                  <c:ptCount val="16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  <c:pt idx="131">
                    <c:v>0</c:v>
                  </c:pt>
                  <c:pt idx="132">
                    <c:v>0</c:v>
                  </c:pt>
                  <c:pt idx="133">
                    <c:v>0</c:v>
                  </c:pt>
                  <c:pt idx="134">
                    <c:v>0</c:v>
                  </c:pt>
                  <c:pt idx="135">
                    <c:v>0</c:v>
                  </c:pt>
                  <c:pt idx="136">
                    <c:v>0</c:v>
                  </c:pt>
                  <c:pt idx="137">
                    <c:v>0</c:v>
                  </c:pt>
                  <c:pt idx="138">
                    <c:v>0</c:v>
                  </c:pt>
                  <c:pt idx="139">
                    <c:v>0</c:v>
                  </c:pt>
                  <c:pt idx="140">
                    <c:v>0</c:v>
                  </c:pt>
                  <c:pt idx="141">
                    <c:v>0</c:v>
                  </c:pt>
                  <c:pt idx="142">
                    <c:v>0</c:v>
                  </c:pt>
                  <c:pt idx="143">
                    <c:v>0</c:v>
                  </c:pt>
                  <c:pt idx="144">
                    <c:v>0</c:v>
                  </c:pt>
                  <c:pt idx="145">
                    <c:v>0</c:v>
                  </c:pt>
                  <c:pt idx="146">
                    <c:v>0</c:v>
                  </c:pt>
                  <c:pt idx="147">
                    <c:v>0</c:v>
                  </c:pt>
                  <c:pt idx="148">
                    <c:v>0</c:v>
                  </c:pt>
                  <c:pt idx="149">
                    <c:v>0</c:v>
                  </c:pt>
                  <c:pt idx="150">
                    <c:v>0</c:v>
                  </c:pt>
                  <c:pt idx="151">
                    <c:v>0</c:v>
                  </c:pt>
                  <c:pt idx="152">
                    <c:v>0</c:v>
                  </c:pt>
                  <c:pt idx="153">
                    <c:v>0</c:v>
                  </c:pt>
                  <c:pt idx="154">
                    <c:v>0</c:v>
                  </c:pt>
                  <c:pt idx="155">
                    <c:v>0</c:v>
                  </c:pt>
                  <c:pt idx="156">
                    <c:v>0</c:v>
                  </c:pt>
                  <c:pt idx="157">
                    <c:v>0</c:v>
                  </c:pt>
                  <c:pt idx="158">
                    <c:v>0</c:v>
                  </c:pt>
                  <c:pt idx="159">
                    <c:v>0</c:v>
                  </c:pt>
                  <c:pt idx="160">
                    <c:v>0</c:v>
                  </c:pt>
                </c:numCache>
              </c:numRef>
            </c:minus>
            <c:spPr>
              <a:ln w="6350">
                <a:solidFill>
                  <a:srgbClr val="808080"/>
                </a:solidFill>
                <a:prstDash val="solid"/>
              </a:ln>
            </c:spPr>
          </c:errBars>
          <c:cat>
            <c:numRef>
              <c:f>'280-300'!$B$1:$FF$1</c:f>
              <c:numCache>
                <c:formatCode>General</c:formatCode>
                <c:ptCount val="16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  <c:pt idx="131">
                  <c:v>5.0999999999999996</c:v>
                </c:pt>
                <c:pt idx="132">
                  <c:v>5.2</c:v>
                </c:pt>
                <c:pt idx="133">
                  <c:v>5.3</c:v>
                </c:pt>
                <c:pt idx="134">
                  <c:v>5.4</c:v>
                </c:pt>
                <c:pt idx="135">
                  <c:v>5.5</c:v>
                </c:pt>
                <c:pt idx="136">
                  <c:v>5.6</c:v>
                </c:pt>
                <c:pt idx="137">
                  <c:v>5.7</c:v>
                </c:pt>
                <c:pt idx="138">
                  <c:v>5.8</c:v>
                </c:pt>
                <c:pt idx="139">
                  <c:v>5.9</c:v>
                </c:pt>
                <c:pt idx="140">
                  <c:v>6</c:v>
                </c:pt>
                <c:pt idx="141">
                  <c:v>6.1</c:v>
                </c:pt>
                <c:pt idx="142">
                  <c:v>6.2</c:v>
                </c:pt>
                <c:pt idx="143">
                  <c:v>6.3</c:v>
                </c:pt>
                <c:pt idx="144">
                  <c:v>6.4</c:v>
                </c:pt>
                <c:pt idx="145">
                  <c:v>6.5</c:v>
                </c:pt>
                <c:pt idx="146">
                  <c:v>6.6</c:v>
                </c:pt>
                <c:pt idx="147">
                  <c:v>6.7</c:v>
                </c:pt>
                <c:pt idx="148">
                  <c:v>6.8</c:v>
                </c:pt>
                <c:pt idx="149">
                  <c:v>6.9</c:v>
                </c:pt>
                <c:pt idx="150">
                  <c:v>7</c:v>
                </c:pt>
                <c:pt idx="151">
                  <c:v>7.1</c:v>
                </c:pt>
                <c:pt idx="152">
                  <c:v>7.2</c:v>
                </c:pt>
                <c:pt idx="153">
                  <c:v>7.3</c:v>
                </c:pt>
                <c:pt idx="154">
                  <c:v>7.4</c:v>
                </c:pt>
                <c:pt idx="155">
                  <c:v>7.5</c:v>
                </c:pt>
                <c:pt idx="156">
                  <c:v>7.6</c:v>
                </c:pt>
                <c:pt idx="157">
                  <c:v>7.7</c:v>
                </c:pt>
                <c:pt idx="158">
                  <c:v>7.8</c:v>
                </c:pt>
                <c:pt idx="159">
                  <c:v>7.9</c:v>
                </c:pt>
                <c:pt idx="160">
                  <c:v>8</c:v>
                </c:pt>
              </c:numCache>
            </c:numRef>
          </c:cat>
          <c:val>
            <c:numRef>
              <c:f>'&gt;360'!$B$71:$FF$71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val>
        </c:ser>
        <c:marker val="1"/>
        <c:axId val="179200768"/>
        <c:axId val="179202688"/>
      </c:lineChart>
      <c:catAx>
        <c:axId val="1792007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202688"/>
        <c:crosses val="autoZero"/>
        <c:auto val="1"/>
        <c:lblAlgn val="ctr"/>
        <c:lblOffset val="100"/>
        <c:tickLblSkip val="10"/>
        <c:tickMarkSkip val="10"/>
      </c:catAx>
      <c:valAx>
        <c:axId val="17920268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  <c:layout/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20076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'&lt;280'!$B$73:$EB$73</c:f>
                <c:numCache>
                  <c:formatCode>General</c:formatCode>
                  <c:ptCount val="13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</c:numCache>
              </c:numRef>
            </c:plus>
            <c:minus>
              <c:numRef>
                <c:f>'&lt;280'!$B$73:$EB$73</c:f>
                <c:numCache>
                  <c:formatCode>General</c:formatCode>
                  <c:ptCount val="131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  <c:pt idx="34">
                    <c:v>0</c:v>
                  </c:pt>
                  <c:pt idx="35">
                    <c:v>0</c:v>
                  </c:pt>
                  <c:pt idx="36">
                    <c:v>0</c:v>
                  </c:pt>
                  <c:pt idx="37">
                    <c:v>0</c:v>
                  </c:pt>
                  <c:pt idx="38">
                    <c:v>0</c:v>
                  </c:pt>
                  <c:pt idx="39">
                    <c:v>0</c:v>
                  </c:pt>
                  <c:pt idx="40">
                    <c:v>0</c:v>
                  </c:pt>
                  <c:pt idx="41">
                    <c:v>0</c:v>
                  </c:pt>
                  <c:pt idx="42">
                    <c:v>0</c:v>
                  </c:pt>
                  <c:pt idx="43">
                    <c:v>0</c:v>
                  </c:pt>
                  <c:pt idx="44">
                    <c:v>0</c:v>
                  </c:pt>
                  <c:pt idx="45">
                    <c:v>0</c:v>
                  </c:pt>
                  <c:pt idx="46">
                    <c:v>0</c:v>
                  </c:pt>
                  <c:pt idx="47">
                    <c:v>0</c:v>
                  </c:pt>
                  <c:pt idx="48">
                    <c:v>0</c:v>
                  </c:pt>
                  <c:pt idx="49">
                    <c:v>0</c:v>
                  </c:pt>
                  <c:pt idx="50">
                    <c:v>0</c:v>
                  </c:pt>
                  <c:pt idx="51">
                    <c:v>0</c:v>
                  </c:pt>
                  <c:pt idx="52">
                    <c:v>0</c:v>
                  </c:pt>
                  <c:pt idx="53">
                    <c:v>0</c:v>
                  </c:pt>
                  <c:pt idx="54">
                    <c:v>0</c:v>
                  </c:pt>
                  <c:pt idx="55">
                    <c:v>0</c:v>
                  </c:pt>
                  <c:pt idx="56">
                    <c:v>0</c:v>
                  </c:pt>
                  <c:pt idx="57">
                    <c:v>0</c:v>
                  </c:pt>
                  <c:pt idx="58">
                    <c:v>0</c:v>
                  </c:pt>
                  <c:pt idx="59">
                    <c:v>0</c:v>
                  </c:pt>
                  <c:pt idx="60">
                    <c:v>0</c:v>
                  </c:pt>
                  <c:pt idx="61">
                    <c:v>0</c:v>
                  </c:pt>
                  <c:pt idx="62">
                    <c:v>0</c:v>
                  </c:pt>
                  <c:pt idx="63">
                    <c:v>0</c:v>
                  </c:pt>
                  <c:pt idx="64">
                    <c:v>0</c:v>
                  </c:pt>
                  <c:pt idx="65">
                    <c:v>0</c:v>
                  </c:pt>
                  <c:pt idx="66">
                    <c:v>0</c:v>
                  </c:pt>
                  <c:pt idx="67">
                    <c:v>0</c:v>
                  </c:pt>
                  <c:pt idx="68">
                    <c:v>0</c:v>
                  </c:pt>
                  <c:pt idx="69">
                    <c:v>0</c:v>
                  </c:pt>
                  <c:pt idx="70">
                    <c:v>0</c:v>
                  </c:pt>
                  <c:pt idx="71">
                    <c:v>0</c:v>
                  </c:pt>
                  <c:pt idx="72">
                    <c:v>0</c:v>
                  </c:pt>
                  <c:pt idx="73">
                    <c:v>0</c:v>
                  </c:pt>
                  <c:pt idx="74">
                    <c:v>0</c:v>
                  </c:pt>
                  <c:pt idx="75">
                    <c:v>0</c:v>
                  </c:pt>
                  <c:pt idx="76">
                    <c:v>0</c:v>
                  </c:pt>
                  <c:pt idx="77">
                    <c:v>0</c:v>
                  </c:pt>
                  <c:pt idx="78">
                    <c:v>0</c:v>
                  </c:pt>
                  <c:pt idx="79">
                    <c:v>0</c:v>
                  </c:pt>
                  <c:pt idx="80">
                    <c:v>0</c:v>
                  </c:pt>
                  <c:pt idx="81">
                    <c:v>0</c:v>
                  </c:pt>
                  <c:pt idx="82">
                    <c:v>0</c:v>
                  </c:pt>
                  <c:pt idx="83">
                    <c:v>0</c:v>
                  </c:pt>
                  <c:pt idx="84">
                    <c:v>0</c:v>
                  </c:pt>
                  <c:pt idx="85">
                    <c:v>0</c:v>
                  </c:pt>
                  <c:pt idx="86">
                    <c:v>0</c:v>
                  </c:pt>
                  <c:pt idx="87">
                    <c:v>0</c:v>
                  </c:pt>
                  <c:pt idx="88">
                    <c:v>0</c:v>
                  </c:pt>
                  <c:pt idx="89">
                    <c:v>0</c:v>
                  </c:pt>
                  <c:pt idx="90">
                    <c:v>0</c:v>
                  </c:pt>
                  <c:pt idx="91">
                    <c:v>0</c:v>
                  </c:pt>
                  <c:pt idx="92">
                    <c:v>0</c:v>
                  </c:pt>
                  <c:pt idx="93">
                    <c:v>0</c:v>
                  </c:pt>
                  <c:pt idx="94">
                    <c:v>0</c:v>
                  </c:pt>
                  <c:pt idx="95">
                    <c:v>0</c:v>
                  </c:pt>
                  <c:pt idx="96">
                    <c:v>0</c:v>
                  </c:pt>
                  <c:pt idx="97">
                    <c:v>0</c:v>
                  </c:pt>
                  <c:pt idx="98">
                    <c:v>0</c:v>
                  </c:pt>
                  <c:pt idx="99">
                    <c:v>0</c:v>
                  </c:pt>
                  <c:pt idx="100">
                    <c:v>0</c:v>
                  </c:pt>
                  <c:pt idx="101">
                    <c:v>0</c:v>
                  </c:pt>
                  <c:pt idx="102">
                    <c:v>0</c:v>
                  </c:pt>
                  <c:pt idx="103">
                    <c:v>0</c:v>
                  </c:pt>
                  <c:pt idx="104">
                    <c:v>0</c:v>
                  </c:pt>
                  <c:pt idx="105">
                    <c:v>0</c:v>
                  </c:pt>
                  <c:pt idx="106">
                    <c:v>0</c:v>
                  </c:pt>
                  <c:pt idx="107">
                    <c:v>0</c:v>
                  </c:pt>
                  <c:pt idx="108">
                    <c:v>0</c:v>
                  </c:pt>
                  <c:pt idx="109">
                    <c:v>0</c:v>
                  </c:pt>
                  <c:pt idx="110">
                    <c:v>0</c:v>
                  </c:pt>
                  <c:pt idx="111">
                    <c:v>0</c:v>
                  </c:pt>
                  <c:pt idx="112">
                    <c:v>0</c:v>
                  </c:pt>
                  <c:pt idx="113">
                    <c:v>0</c:v>
                  </c:pt>
                  <c:pt idx="114">
                    <c:v>0</c:v>
                  </c:pt>
                  <c:pt idx="115">
                    <c:v>0</c:v>
                  </c:pt>
                  <c:pt idx="116">
                    <c:v>0</c:v>
                  </c:pt>
                  <c:pt idx="117">
                    <c:v>0</c:v>
                  </c:pt>
                  <c:pt idx="118">
                    <c:v>0</c:v>
                  </c:pt>
                  <c:pt idx="119">
                    <c:v>0</c:v>
                  </c:pt>
                  <c:pt idx="120">
                    <c:v>0</c:v>
                  </c:pt>
                  <c:pt idx="121">
                    <c:v>0</c:v>
                  </c:pt>
                  <c:pt idx="122">
                    <c:v>0</c:v>
                  </c:pt>
                  <c:pt idx="123">
                    <c:v>0</c:v>
                  </c:pt>
                  <c:pt idx="124">
                    <c:v>0</c:v>
                  </c:pt>
                  <c:pt idx="125">
                    <c:v>0</c:v>
                  </c:pt>
                  <c:pt idx="126">
                    <c:v>0</c:v>
                  </c:pt>
                  <c:pt idx="127">
                    <c:v>0</c:v>
                  </c:pt>
                  <c:pt idx="128">
                    <c:v>0</c:v>
                  </c:pt>
                  <c:pt idx="129">
                    <c:v>0</c:v>
                  </c:pt>
                  <c:pt idx="130">
                    <c:v>0</c:v>
                  </c:pt>
                </c:numCache>
              </c:numRef>
            </c:minus>
            <c:spPr>
              <a:ln w="3175">
                <a:solidFill>
                  <a:srgbClr val="808080"/>
                </a:solidFill>
                <a:prstDash val="solid"/>
              </a:ln>
            </c:spPr>
          </c:errBars>
          <c:cat>
            <c:numRef>
              <c:f>'&lt;280'!$B$1:$EB$1</c:f>
              <c:numCache>
                <c:formatCode>General</c:formatCode>
                <c:ptCount val="13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</c:numCache>
            </c:numRef>
          </c:cat>
          <c:val>
            <c:numRef>
              <c:f>'&lt;280'!$B$71:$EB$71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</c:ser>
        <c:marker val="1"/>
        <c:axId val="179124480"/>
        <c:axId val="179167616"/>
      </c:lineChart>
      <c:catAx>
        <c:axId val="17912448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rPr lang="en-AU"/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167616"/>
        <c:crosses val="autoZero"/>
        <c:auto val="1"/>
        <c:lblAlgn val="ctr"/>
        <c:lblOffset val="100"/>
        <c:tickLblSkip val="10"/>
        <c:tickMarkSkip val="10"/>
      </c:catAx>
      <c:valAx>
        <c:axId val="179167616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124480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0.15000000000000024"/>
          <c:y val="4.8611111111111112E-2"/>
          <c:w val="0.8125"/>
          <c:h val="0.82638888888888884"/>
        </c:manualLayout>
      </c:layout>
      <c:lineChart>
        <c:grouping val="standard"/>
        <c:ser>
          <c:idx val="0"/>
          <c:order val="0"/>
          <c:spPr>
            <a:ln w="12700">
              <a:solidFill>
                <a:sysClr val="windowText" lastClr="000000"/>
              </a:solidFill>
            </a:ln>
          </c:spPr>
          <c:marker>
            <c:symbol val="none"/>
          </c:marker>
          <c:errBars>
            <c:errDir val="y"/>
            <c:errBarType val="both"/>
            <c:errValType val="cust"/>
            <c:plus>
              <c:numRef>
                <c:f>'280-300'!$B$74:$EB$74</c:f>
                <c:numCache>
                  <c:formatCode>General</c:formatCode>
                  <c:ptCount val="131"/>
                  <c:pt idx="0">
                    <c:v>0</c:v>
                  </c:pt>
                </c:numCache>
              </c:numRef>
            </c:plus>
            <c:minus>
              <c:numRef>
                <c:f>'280-300'!$B$74:$EB$74</c:f>
                <c:numCache>
                  <c:formatCode>General</c:formatCode>
                  <c:ptCount val="131"/>
                  <c:pt idx="0">
                    <c:v>0</c:v>
                  </c:pt>
                </c:numCache>
              </c:numRef>
            </c:minus>
            <c:spPr>
              <a:ln w="3175">
                <a:solidFill>
                  <a:srgbClr val="808080"/>
                </a:solidFill>
                <a:prstDash val="solid"/>
              </a:ln>
            </c:spPr>
          </c:errBars>
          <c:cat>
            <c:numRef>
              <c:f>'&lt;280'!$B$1:$EB$1</c:f>
              <c:numCache>
                <c:formatCode>General</c:formatCode>
                <c:ptCount val="131"/>
                <c:pt idx="0">
                  <c:v>-8</c:v>
                </c:pt>
                <c:pt idx="1">
                  <c:v>-7.9</c:v>
                </c:pt>
                <c:pt idx="2">
                  <c:v>-7.8</c:v>
                </c:pt>
                <c:pt idx="3">
                  <c:v>-7.7</c:v>
                </c:pt>
                <c:pt idx="4">
                  <c:v>-7.6</c:v>
                </c:pt>
                <c:pt idx="5">
                  <c:v>-7.5</c:v>
                </c:pt>
                <c:pt idx="6">
                  <c:v>-7.4</c:v>
                </c:pt>
                <c:pt idx="7">
                  <c:v>-7.3</c:v>
                </c:pt>
                <c:pt idx="8">
                  <c:v>-7.2</c:v>
                </c:pt>
                <c:pt idx="9">
                  <c:v>-7.1</c:v>
                </c:pt>
                <c:pt idx="10">
                  <c:v>-7</c:v>
                </c:pt>
                <c:pt idx="11">
                  <c:v>-6.9</c:v>
                </c:pt>
                <c:pt idx="12">
                  <c:v>-6.8</c:v>
                </c:pt>
                <c:pt idx="13">
                  <c:v>-6.7</c:v>
                </c:pt>
                <c:pt idx="14">
                  <c:v>-6.6</c:v>
                </c:pt>
                <c:pt idx="15">
                  <c:v>-6.5</c:v>
                </c:pt>
                <c:pt idx="16">
                  <c:v>-6.4</c:v>
                </c:pt>
                <c:pt idx="17">
                  <c:v>-6.3</c:v>
                </c:pt>
                <c:pt idx="18">
                  <c:v>-6.2</c:v>
                </c:pt>
                <c:pt idx="19">
                  <c:v>-6.1</c:v>
                </c:pt>
                <c:pt idx="20">
                  <c:v>-6</c:v>
                </c:pt>
                <c:pt idx="21">
                  <c:v>-5.9</c:v>
                </c:pt>
                <c:pt idx="22">
                  <c:v>-5.8</c:v>
                </c:pt>
                <c:pt idx="23">
                  <c:v>-5.7</c:v>
                </c:pt>
                <c:pt idx="24">
                  <c:v>-5.6</c:v>
                </c:pt>
                <c:pt idx="25">
                  <c:v>-5.5</c:v>
                </c:pt>
                <c:pt idx="26">
                  <c:v>-5.4</c:v>
                </c:pt>
                <c:pt idx="27">
                  <c:v>-5.3</c:v>
                </c:pt>
                <c:pt idx="28">
                  <c:v>-5.2</c:v>
                </c:pt>
                <c:pt idx="29">
                  <c:v>-5.0999999999999996</c:v>
                </c:pt>
                <c:pt idx="30">
                  <c:v>-5</c:v>
                </c:pt>
                <c:pt idx="31">
                  <c:v>-4.9000000000000004</c:v>
                </c:pt>
                <c:pt idx="32">
                  <c:v>-4.8</c:v>
                </c:pt>
                <c:pt idx="33">
                  <c:v>-4.7</c:v>
                </c:pt>
                <c:pt idx="34">
                  <c:v>-4.5999999999999996</c:v>
                </c:pt>
                <c:pt idx="35">
                  <c:v>-4.5</c:v>
                </c:pt>
                <c:pt idx="36">
                  <c:v>-4.4000000000000004</c:v>
                </c:pt>
                <c:pt idx="37">
                  <c:v>-4.3</c:v>
                </c:pt>
                <c:pt idx="38">
                  <c:v>-4.2</c:v>
                </c:pt>
                <c:pt idx="39">
                  <c:v>-4.0999999999999996</c:v>
                </c:pt>
                <c:pt idx="40">
                  <c:v>-4</c:v>
                </c:pt>
                <c:pt idx="41">
                  <c:v>-3.9</c:v>
                </c:pt>
                <c:pt idx="42">
                  <c:v>-3.8</c:v>
                </c:pt>
                <c:pt idx="43">
                  <c:v>-3.7</c:v>
                </c:pt>
                <c:pt idx="44">
                  <c:v>-3.6</c:v>
                </c:pt>
                <c:pt idx="45">
                  <c:v>-3.5</c:v>
                </c:pt>
                <c:pt idx="46">
                  <c:v>-3.4</c:v>
                </c:pt>
                <c:pt idx="47">
                  <c:v>-3.3</c:v>
                </c:pt>
                <c:pt idx="48">
                  <c:v>-3.2</c:v>
                </c:pt>
                <c:pt idx="49">
                  <c:v>-3.1</c:v>
                </c:pt>
                <c:pt idx="50">
                  <c:v>-3</c:v>
                </c:pt>
                <c:pt idx="51">
                  <c:v>-2.9</c:v>
                </c:pt>
                <c:pt idx="52">
                  <c:v>-2.8</c:v>
                </c:pt>
                <c:pt idx="53">
                  <c:v>-2.7</c:v>
                </c:pt>
                <c:pt idx="54">
                  <c:v>-2.6</c:v>
                </c:pt>
                <c:pt idx="55">
                  <c:v>-2.5</c:v>
                </c:pt>
                <c:pt idx="56">
                  <c:v>-2.4</c:v>
                </c:pt>
                <c:pt idx="57">
                  <c:v>-2.2999999999999998</c:v>
                </c:pt>
                <c:pt idx="58">
                  <c:v>-2.2000000000000002</c:v>
                </c:pt>
                <c:pt idx="59">
                  <c:v>-2.1</c:v>
                </c:pt>
                <c:pt idx="60">
                  <c:v>-2</c:v>
                </c:pt>
                <c:pt idx="61">
                  <c:v>-1.9</c:v>
                </c:pt>
                <c:pt idx="62">
                  <c:v>-1.8</c:v>
                </c:pt>
                <c:pt idx="63">
                  <c:v>-1.7</c:v>
                </c:pt>
                <c:pt idx="64">
                  <c:v>-1.6</c:v>
                </c:pt>
                <c:pt idx="65">
                  <c:v>-1.5</c:v>
                </c:pt>
                <c:pt idx="66">
                  <c:v>-1.4</c:v>
                </c:pt>
                <c:pt idx="67">
                  <c:v>-1.3</c:v>
                </c:pt>
                <c:pt idx="68">
                  <c:v>-1.2</c:v>
                </c:pt>
                <c:pt idx="69">
                  <c:v>-1.1000000000000001</c:v>
                </c:pt>
                <c:pt idx="70">
                  <c:v>-1</c:v>
                </c:pt>
                <c:pt idx="71">
                  <c:v>-0.9</c:v>
                </c:pt>
                <c:pt idx="72">
                  <c:v>-0.8</c:v>
                </c:pt>
                <c:pt idx="73">
                  <c:v>-0.7</c:v>
                </c:pt>
                <c:pt idx="74">
                  <c:v>-0.6</c:v>
                </c:pt>
                <c:pt idx="75">
                  <c:v>-0.5</c:v>
                </c:pt>
                <c:pt idx="76">
                  <c:v>-0.4</c:v>
                </c:pt>
                <c:pt idx="77">
                  <c:v>-0.3</c:v>
                </c:pt>
                <c:pt idx="78">
                  <c:v>-0.2</c:v>
                </c:pt>
                <c:pt idx="79">
                  <c:v>-0.1</c:v>
                </c:pt>
                <c:pt idx="80">
                  <c:v>0</c:v>
                </c:pt>
                <c:pt idx="81">
                  <c:v>0.1</c:v>
                </c:pt>
                <c:pt idx="82">
                  <c:v>0.2</c:v>
                </c:pt>
                <c:pt idx="83">
                  <c:v>0.3</c:v>
                </c:pt>
                <c:pt idx="84">
                  <c:v>0.4</c:v>
                </c:pt>
                <c:pt idx="85">
                  <c:v>0.5</c:v>
                </c:pt>
                <c:pt idx="86">
                  <c:v>0.6</c:v>
                </c:pt>
                <c:pt idx="87">
                  <c:v>0.7</c:v>
                </c:pt>
                <c:pt idx="88">
                  <c:v>0.8</c:v>
                </c:pt>
                <c:pt idx="89">
                  <c:v>0.9</c:v>
                </c:pt>
                <c:pt idx="90">
                  <c:v>1</c:v>
                </c:pt>
                <c:pt idx="91">
                  <c:v>1.1000000000000001</c:v>
                </c:pt>
                <c:pt idx="92">
                  <c:v>1.2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1.6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2.1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2.4</c:v>
                </c:pt>
                <c:pt idx="105">
                  <c:v>2.5</c:v>
                </c:pt>
                <c:pt idx="106">
                  <c:v>2.6</c:v>
                </c:pt>
                <c:pt idx="107">
                  <c:v>2.7</c:v>
                </c:pt>
                <c:pt idx="108">
                  <c:v>2.8</c:v>
                </c:pt>
                <c:pt idx="109">
                  <c:v>2.9</c:v>
                </c:pt>
                <c:pt idx="110">
                  <c:v>3</c:v>
                </c:pt>
                <c:pt idx="111">
                  <c:v>3.1</c:v>
                </c:pt>
                <c:pt idx="112">
                  <c:v>3.2</c:v>
                </c:pt>
                <c:pt idx="113">
                  <c:v>3.3</c:v>
                </c:pt>
                <c:pt idx="114">
                  <c:v>3.4</c:v>
                </c:pt>
                <c:pt idx="115">
                  <c:v>3.5</c:v>
                </c:pt>
                <c:pt idx="116">
                  <c:v>3.6</c:v>
                </c:pt>
                <c:pt idx="117">
                  <c:v>3.7</c:v>
                </c:pt>
                <c:pt idx="118">
                  <c:v>3.8</c:v>
                </c:pt>
                <c:pt idx="119">
                  <c:v>3.9</c:v>
                </c:pt>
                <c:pt idx="120">
                  <c:v>4</c:v>
                </c:pt>
                <c:pt idx="121">
                  <c:v>4.0999999999999996</c:v>
                </c:pt>
                <c:pt idx="122">
                  <c:v>4.2</c:v>
                </c:pt>
                <c:pt idx="123">
                  <c:v>4.3</c:v>
                </c:pt>
                <c:pt idx="124">
                  <c:v>4.4000000000000004</c:v>
                </c:pt>
                <c:pt idx="125">
                  <c:v>4.5</c:v>
                </c:pt>
                <c:pt idx="126">
                  <c:v>4.5999999999999996</c:v>
                </c:pt>
                <c:pt idx="127">
                  <c:v>4.7</c:v>
                </c:pt>
                <c:pt idx="128">
                  <c:v>4.8</c:v>
                </c:pt>
                <c:pt idx="129">
                  <c:v>4.9000000000000004</c:v>
                </c:pt>
                <c:pt idx="130">
                  <c:v>5</c:v>
                </c:pt>
              </c:numCache>
            </c:numRef>
          </c:cat>
          <c:val>
            <c:numRef>
              <c:f>'280-300'!$B$72:$EB$72</c:f>
              <c:numCache>
                <c:formatCode>General</c:formatCode>
                <c:ptCount val="1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val>
        </c:ser>
        <c:marker val="1"/>
        <c:axId val="179401088"/>
        <c:axId val="179403008"/>
      </c:lineChart>
      <c:catAx>
        <c:axId val="17940108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Myriad Pro"/>
                    <a:ea typeface="Myriad Pro"/>
                    <a:cs typeface="Myriad Pro"/>
                  </a:defRPr>
                </a:pPr>
                <a:r>
                  <a:t>Time (s)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403008"/>
        <c:crosses val="autoZero"/>
        <c:auto val="1"/>
        <c:lblAlgn val="ctr"/>
        <c:lblOffset val="100"/>
        <c:tickLblSkip val="10"/>
        <c:tickMarkSkip val="10"/>
      </c:catAx>
      <c:valAx>
        <c:axId val="179403008"/>
        <c:scaling>
          <c:orientation val="minMax"/>
          <c:max val="50"/>
          <c:min val="-50"/>
        </c:scaling>
        <c:axPos val="l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Mean </a:t>
                </a:r>
                <a:r>
                  <a:rPr lang="el-GR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Δ</a:t>
                </a: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Myriad Pro"/>
                  </a:rPr>
                  <a:t>HR (beats/min)</a:t>
                </a:r>
              </a:p>
            </c:rich>
          </c:tx>
        </c:title>
        <c:numFmt formatCode="General" sourceLinked="1"/>
        <c:tickLblPos val="nextTo"/>
        <c:spPr>
          <a:ln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en-US"/>
          </a:p>
        </c:txPr>
        <c:crossAx val="179401088"/>
        <c:crosses val="autoZero"/>
        <c:crossBetween val="between"/>
        <c:majorUnit val="10"/>
      </c:valAx>
      <c:spPr>
        <a:noFill/>
        <a:ln w="25400">
          <a:noFill/>
        </a:ln>
      </c:spPr>
    </c:plotArea>
    <c:plotVisOnly val="1"/>
    <c:dispBlanksAs val="gap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304800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0</xdr:row>
      <xdr:rowOff>28575</xdr:rowOff>
    </xdr:from>
    <xdr:to>
      <xdr:col>17</xdr:col>
      <xdr:colOff>342900</xdr:colOff>
      <xdr:row>14</xdr:row>
      <xdr:rowOff>104775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16</xdr:row>
      <xdr:rowOff>9525</xdr:rowOff>
    </xdr:from>
    <xdr:to>
      <xdr:col>8</xdr:col>
      <xdr:colOff>323850</xdr:colOff>
      <xdr:row>30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17</xdr:col>
      <xdr:colOff>304800</xdr:colOff>
      <xdr:row>30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32</xdr:row>
      <xdr:rowOff>180975</xdr:rowOff>
    </xdr:from>
    <xdr:to>
      <xdr:col>8</xdr:col>
      <xdr:colOff>304800</xdr:colOff>
      <xdr:row>47</xdr:row>
      <xdr:rowOff>66675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171450</xdr:rowOff>
    </xdr:from>
    <xdr:to>
      <xdr:col>17</xdr:col>
      <xdr:colOff>285750</xdr:colOff>
      <xdr:row>47</xdr:row>
      <xdr:rowOff>57150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8</xdr:col>
      <xdr:colOff>304800</xdr:colOff>
      <xdr:row>14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38100</xdr:colOff>
      <xdr:row>0</xdr:row>
      <xdr:rowOff>28575</xdr:rowOff>
    </xdr:from>
    <xdr:to>
      <xdr:col>17</xdr:col>
      <xdr:colOff>342900</xdr:colOff>
      <xdr:row>14</xdr:row>
      <xdr:rowOff>104775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16</xdr:row>
      <xdr:rowOff>9525</xdr:rowOff>
    </xdr:from>
    <xdr:to>
      <xdr:col>8</xdr:col>
      <xdr:colOff>323850</xdr:colOff>
      <xdr:row>30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17</xdr:col>
      <xdr:colOff>304800</xdr:colOff>
      <xdr:row>30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32</xdr:row>
      <xdr:rowOff>180975</xdr:rowOff>
    </xdr:from>
    <xdr:to>
      <xdr:col>8</xdr:col>
      <xdr:colOff>304800</xdr:colOff>
      <xdr:row>47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590550</xdr:colOff>
      <xdr:row>32</xdr:row>
      <xdr:rowOff>171450</xdr:rowOff>
    </xdr:from>
    <xdr:to>
      <xdr:col>17</xdr:col>
      <xdr:colOff>285750</xdr:colOff>
      <xdr:row>47</xdr:row>
      <xdr:rowOff>57150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75</xdr:row>
      <xdr:rowOff>47625</xdr:rowOff>
    </xdr:from>
    <xdr:to>
      <xdr:col>9</xdr:col>
      <xdr:colOff>428625</xdr:colOff>
      <xdr:row>89</xdr:row>
      <xdr:rowOff>123825</xdr:rowOff>
    </xdr:to>
    <xdr:graphicFrame macro="">
      <xdr:nvGraphicFramePr>
        <xdr:cNvPr id="207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81</xdr:row>
      <xdr:rowOff>133350</xdr:rowOff>
    </xdr:from>
    <xdr:to>
      <xdr:col>9</xdr:col>
      <xdr:colOff>457200</xdr:colOff>
      <xdr:row>96</xdr:row>
      <xdr:rowOff>19050</xdr:rowOff>
    </xdr:to>
    <xdr:graphicFrame macro="">
      <xdr:nvGraphicFramePr>
        <xdr:cNvPr id="105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J38"/>
  <sheetViews>
    <sheetView tabSelected="1" topLeftCell="A16" workbookViewId="0">
      <selection activeCell="H49" sqref="H49"/>
    </sheetView>
  </sheetViews>
  <sheetFormatPr defaultRowHeight="15"/>
  <cols>
    <col min="1" max="16384" width="9.140625" style="6"/>
  </cols>
  <sheetData>
    <row r="1" spans="1:10">
      <c r="A1" s="6" t="s">
        <v>6</v>
      </c>
      <c r="J1" s="6" t="s">
        <v>7</v>
      </c>
    </row>
    <row r="2" spans="1:10">
      <c r="A2" s="6" t="s">
        <v>12</v>
      </c>
      <c r="J2" s="6" t="s">
        <v>12</v>
      </c>
    </row>
    <row r="3" spans="1:10">
      <c r="A3" s="6">
        <f>COUNT('&lt;280'!A2:A69)</f>
        <v>0</v>
      </c>
      <c r="J3" s="6">
        <f>COUNT('280-300'!A2:A69)</f>
        <v>0</v>
      </c>
    </row>
    <row r="4" spans="1:10">
      <c r="A4" s="6" t="s">
        <v>13</v>
      </c>
      <c r="J4" s="6" t="s">
        <v>13</v>
      </c>
    </row>
    <row r="5" spans="1:10">
      <c r="A5" s="6" t="e">
        <f>AVERAGE('&lt;280'!$A$2:$A$69)</f>
        <v>#DIV/0!</v>
      </c>
      <c r="J5" s="6" t="e">
        <f>AVERAGE('280-300'!$A$2:$A$69)</f>
        <v>#DIV/0!</v>
      </c>
    </row>
    <row r="17" spans="1:10">
      <c r="A17" s="6" t="s">
        <v>8</v>
      </c>
      <c r="J17" s="6" t="s">
        <v>9</v>
      </c>
    </row>
    <row r="18" spans="1:10">
      <c r="A18" s="6" t="s">
        <v>12</v>
      </c>
      <c r="J18" s="6" t="s">
        <v>12</v>
      </c>
    </row>
    <row r="19" spans="1:10">
      <c r="A19" s="6">
        <f>COUNT('300-320'!A2:A69)</f>
        <v>0</v>
      </c>
      <c r="J19" s="6">
        <f>COUNT('320-340'!A2:A69)</f>
        <v>0</v>
      </c>
    </row>
    <row r="20" spans="1:10">
      <c r="A20" s="6" t="s">
        <v>13</v>
      </c>
      <c r="J20" s="6" t="s">
        <v>13</v>
      </c>
    </row>
    <row r="21" spans="1:10">
      <c r="A21" s="6" t="e">
        <f>AVERAGE('300-320'!$A$2:$A$69)</f>
        <v>#DIV/0!</v>
      </c>
      <c r="J21" s="6" t="e">
        <f>AVERAGE('320-340'!$A$2:$A$69)</f>
        <v>#DIV/0!</v>
      </c>
    </row>
    <row r="34" spans="1:10">
      <c r="A34" s="6" t="s">
        <v>10</v>
      </c>
      <c r="J34" s="6" t="s">
        <v>11</v>
      </c>
    </row>
    <row r="35" spans="1:10">
      <c r="A35" s="6" t="s">
        <v>12</v>
      </c>
      <c r="J35" s="6" t="s">
        <v>12</v>
      </c>
    </row>
    <row r="36" spans="1:10">
      <c r="A36" s="6">
        <f>COUNT('340-360'!A2:A69)</f>
        <v>0</v>
      </c>
      <c r="J36" s="6">
        <f>COUNT('&gt;360'!A2:A69)</f>
        <v>0</v>
      </c>
    </row>
    <row r="37" spans="1:10">
      <c r="A37" s="6" t="s">
        <v>13</v>
      </c>
      <c r="J37" s="6" t="s">
        <v>13</v>
      </c>
    </row>
    <row r="38" spans="1:10">
      <c r="A38" s="6" t="e">
        <f>AVERAGE('&lt;280'!$A$2:$A$69)</f>
        <v>#DIV/0!</v>
      </c>
      <c r="J38" s="6" t="e">
        <f>AVERAGE('&gt;360'!$A$2:$A$69)</f>
        <v>#DIV/0!</v>
      </c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/>
  <dimension ref="A1:J66"/>
  <sheetViews>
    <sheetView workbookViewId="0">
      <selection activeCell="J39" sqref="J39"/>
    </sheetView>
  </sheetViews>
  <sheetFormatPr defaultRowHeight="15"/>
  <sheetData>
    <row r="1" spans="1:10">
      <c r="A1" s="6" t="s">
        <v>6</v>
      </c>
      <c r="J1" s="6" t="s">
        <v>7</v>
      </c>
    </row>
    <row r="2" spans="1:10">
      <c r="A2" s="6" t="s">
        <v>12</v>
      </c>
      <c r="J2" s="6" t="s">
        <v>12</v>
      </c>
    </row>
    <row r="3" spans="1:10">
      <c r="A3">
        <f>COUNT('&lt;280'!A2:A69)</f>
        <v>0</v>
      </c>
      <c r="J3">
        <f>COUNT('280-300'!A2:A69)</f>
        <v>0</v>
      </c>
    </row>
    <row r="4" spans="1:10">
      <c r="A4" s="6" t="s">
        <v>13</v>
      </c>
      <c r="J4" s="6" t="s">
        <v>13</v>
      </c>
    </row>
    <row r="5" spans="1:10">
      <c r="A5" s="6" t="e">
        <f>AVERAGE('&lt;280'!$A$2:$A$69)</f>
        <v>#DIV/0!</v>
      </c>
      <c r="J5" s="6" t="e">
        <f>AVERAGE('280-300'!$A$2:$A$69)</f>
        <v>#DIV/0!</v>
      </c>
    </row>
    <row r="17" spans="1:10">
      <c r="A17" s="6" t="s">
        <v>8</v>
      </c>
      <c r="J17" s="6" t="s">
        <v>9</v>
      </c>
    </row>
    <row r="18" spans="1:10">
      <c r="A18" s="6" t="s">
        <v>12</v>
      </c>
      <c r="J18" s="6" t="s">
        <v>12</v>
      </c>
    </row>
    <row r="19" spans="1:10">
      <c r="A19">
        <f>COUNT('300-320'!A2:A69)</f>
        <v>0</v>
      </c>
      <c r="J19">
        <f>COUNT('320-340'!A2:A69)</f>
        <v>0</v>
      </c>
    </row>
    <row r="20" spans="1:10">
      <c r="A20" s="6" t="s">
        <v>13</v>
      </c>
      <c r="J20" s="6" t="s">
        <v>13</v>
      </c>
    </row>
    <row r="21" spans="1:10">
      <c r="A21" s="6" t="e">
        <f>AVERAGE('300-320'!$A$2:$A$69)</f>
        <v>#DIV/0!</v>
      </c>
      <c r="J21" s="6" t="e">
        <f>AVERAGE('320-340'!$A$2:$A$69)</f>
        <v>#DIV/0!</v>
      </c>
    </row>
    <row r="33" spans="1:10">
      <c r="A33" s="6"/>
    </row>
    <row r="34" spans="1:10">
      <c r="A34" s="6" t="s">
        <v>10</v>
      </c>
      <c r="J34" s="6" t="s">
        <v>11</v>
      </c>
    </row>
    <row r="35" spans="1:10">
      <c r="A35" s="6" t="s">
        <v>12</v>
      </c>
      <c r="J35" s="6" t="s">
        <v>12</v>
      </c>
    </row>
    <row r="36" spans="1:10">
      <c r="A36">
        <f>COUNT('340-360'!A2:A69)</f>
        <v>0</v>
      </c>
      <c r="J36">
        <f>COUNT('&gt;360'!A2:A69)</f>
        <v>0</v>
      </c>
    </row>
    <row r="37" spans="1:10">
      <c r="A37" s="6" t="s">
        <v>13</v>
      </c>
      <c r="J37" s="6" t="s">
        <v>13</v>
      </c>
    </row>
    <row r="38" spans="1:10">
      <c r="A38" t="e">
        <f>AVERAGE('&lt;280'!$A$2:$A$69)</f>
        <v>#DIV/0!</v>
      </c>
      <c r="J38" s="6" t="e">
        <f>AVERAGE('&gt;360'!$A$2:$A$69)</f>
        <v>#DIV/0!</v>
      </c>
    </row>
    <row r="50" spans="1:10">
      <c r="A50" s="6"/>
      <c r="J50" s="6"/>
    </row>
    <row r="66" spans="1:10">
      <c r="A66" s="6"/>
      <c r="J66" s="6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FF172"/>
  <sheetViews>
    <sheetView workbookViewId="0">
      <selection activeCell="K17" sqref="K17"/>
    </sheetView>
  </sheetViews>
  <sheetFormatPr defaultRowHeight="15"/>
  <sheetData>
    <row r="1" spans="1:162">
      <c r="A1" s="4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</row>
    <row r="2" spans="1:162">
      <c r="A2" s="4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</row>
    <row r="3" spans="1:162">
      <c r="A3" s="4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</row>
    <row r="4" spans="1:162">
      <c r="A4" s="4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</row>
    <row r="5" spans="1:162">
      <c r="A5" s="4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</row>
    <row r="6" spans="1:162">
      <c r="A6" s="4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</row>
    <row r="7" spans="1:162">
      <c r="A7" s="4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</row>
    <row r="8" spans="1:162">
      <c r="A8" s="4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</row>
    <row r="9" spans="1:162">
      <c r="A9" s="4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</row>
    <row r="10" spans="1:162">
      <c r="A10" s="4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</row>
    <row r="11" spans="1:162">
      <c r="A11" s="4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</row>
    <row r="12" spans="1:162">
      <c r="A12" s="4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</row>
    <row r="13" spans="1:162">
      <c r="A13" s="4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</row>
    <row r="14" spans="1:162">
      <c r="A14" s="4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</row>
    <row r="15" spans="1:162">
      <c r="A15" s="4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</row>
    <row r="16" spans="1:162">
      <c r="A16" s="4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</row>
    <row r="17" spans="1:162">
      <c r="A17" s="4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</row>
    <row r="18" spans="1:162">
      <c r="A18" s="4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</row>
    <row r="19" spans="1:162">
      <c r="A19" s="4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</row>
    <row r="20" spans="1:162">
      <c r="A20" s="4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</row>
    <row r="21" spans="1:162">
      <c r="A21" s="4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</row>
    <row r="22" spans="1:162">
      <c r="A22" s="4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</row>
    <row r="23" spans="1:162">
      <c r="A23" s="4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</row>
    <row r="24" spans="1:162">
      <c r="A24" s="4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</row>
    <row r="25" spans="1:162">
      <c r="A25" s="4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</row>
    <row r="26" spans="1:162">
      <c r="A26" s="4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</row>
    <row r="27" spans="1:162">
      <c r="A27" s="4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</row>
    <row r="28" spans="1:162">
      <c r="A28" s="4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</row>
    <row r="29" spans="1:162">
      <c r="A29" s="4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</row>
    <row r="30" spans="1:162">
      <c r="A30" s="4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</row>
    <row r="31" spans="1:162">
      <c r="A31" s="4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</row>
    <row r="32" spans="1:162">
      <c r="A32" s="4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</row>
    <row r="33" spans="1:162">
      <c r="A33" s="4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</row>
    <row r="34" spans="1:162">
      <c r="A34" s="4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</row>
    <row r="35" spans="1:162">
      <c r="A35" s="4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</row>
    <row r="36" spans="1:162">
      <c r="A36" s="4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</row>
    <row r="37" spans="1:162">
      <c r="A37" s="4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</row>
    <row r="38" spans="1:162">
      <c r="A38" s="4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</row>
    <row r="39" spans="1:162">
      <c r="A39" s="4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</row>
    <row r="40" spans="1:162">
      <c r="A40" s="4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</row>
    <row r="41" spans="1:162">
      <c r="A41" s="4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</row>
    <row r="42" spans="1:162">
      <c r="A42" s="4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</row>
    <row r="43" spans="1:162">
      <c r="A43" s="4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</row>
    <row r="44" spans="1:162">
      <c r="A44" s="4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</row>
    <row r="45" spans="1:162">
      <c r="A45" s="4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</row>
    <row r="46" spans="1:162">
      <c r="A46" s="4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</row>
    <row r="47" spans="1:162">
      <c r="A47" s="4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</row>
    <row r="48" spans="1:162">
      <c r="A48" s="4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3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3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3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3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3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0" spans="1:13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</row>
    <row r="71" spans="1:13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</row>
    <row r="72" spans="1:13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</row>
    <row r="73" spans="1:13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</row>
    <row r="74" spans="1:13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</row>
    <row r="75" spans="1:13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</row>
    <row r="76" spans="1:13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</row>
    <row r="77" spans="1:13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</row>
    <row r="78" spans="1:13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</row>
    <row r="79" spans="1:13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</row>
    <row r="80" spans="1:13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</row>
    <row r="81" spans="1:13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</row>
    <row r="82" spans="1:13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</row>
    <row r="168" spans="1:2">
      <c r="A168" t="s">
        <v>1</v>
      </c>
      <c r="B168" t="e">
        <f>AVERAGE(A1:A166)</f>
        <v>#DIV/0!</v>
      </c>
    </row>
    <row r="169" spans="1:2">
      <c r="A169" t="s">
        <v>2</v>
      </c>
      <c r="B169">
        <f>MAX(A1:A166)</f>
        <v>0</v>
      </c>
    </row>
    <row r="170" spans="1:2">
      <c r="A170" t="s">
        <v>3</v>
      </c>
      <c r="B170">
        <f>MIN(A1:A166)</f>
        <v>0</v>
      </c>
    </row>
    <row r="171" spans="1:2">
      <c r="A171" t="s">
        <v>4</v>
      </c>
      <c r="B171">
        <f>(B169+B170)/2</f>
        <v>0</v>
      </c>
    </row>
    <row r="172" spans="1:2">
      <c r="A172" s="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FF74"/>
  <sheetViews>
    <sheetView workbookViewId="0">
      <selection activeCell="EN73" sqref="EN73"/>
    </sheetView>
  </sheetViews>
  <sheetFormatPr defaultRowHeight="15"/>
  <sheetData>
    <row r="1" spans="1:162">
      <c r="B1" s="5">
        <v>-8</v>
      </c>
      <c r="C1" s="5">
        <v>-7.9</v>
      </c>
      <c r="D1" s="5">
        <v>-7.8</v>
      </c>
      <c r="E1" s="5">
        <v>-7.7</v>
      </c>
      <c r="F1" s="5">
        <v>-7.6</v>
      </c>
      <c r="G1" s="5">
        <v>-7.5</v>
      </c>
      <c r="H1" s="5">
        <v>-7.4</v>
      </c>
      <c r="I1" s="5">
        <v>-7.3</v>
      </c>
      <c r="J1" s="5">
        <v>-7.2</v>
      </c>
      <c r="K1" s="5">
        <v>-7.1</v>
      </c>
      <c r="L1" s="5">
        <v>-7</v>
      </c>
      <c r="M1" s="5">
        <v>-6.9</v>
      </c>
      <c r="N1" s="5">
        <v>-6.8</v>
      </c>
      <c r="O1" s="5">
        <v>-6.7</v>
      </c>
      <c r="P1" s="5">
        <v>-6.6</v>
      </c>
      <c r="Q1" s="5">
        <v>-6.5</v>
      </c>
      <c r="R1" s="5">
        <v>-6.4</v>
      </c>
      <c r="S1" s="5">
        <v>-6.3</v>
      </c>
      <c r="T1" s="5">
        <v>-6.2</v>
      </c>
      <c r="U1" s="5">
        <v>-6.1</v>
      </c>
      <c r="V1" s="5">
        <v>-6</v>
      </c>
      <c r="W1" s="5">
        <v>-5.9</v>
      </c>
      <c r="X1" s="5">
        <v>-5.8</v>
      </c>
      <c r="Y1" s="5">
        <v>-5.7</v>
      </c>
      <c r="Z1" s="5">
        <v>-5.6</v>
      </c>
      <c r="AA1" s="5">
        <v>-5.5</v>
      </c>
      <c r="AB1" s="5">
        <v>-5.4</v>
      </c>
      <c r="AC1" s="5">
        <v>-5.3</v>
      </c>
      <c r="AD1" s="5">
        <v>-5.2</v>
      </c>
      <c r="AE1" s="5">
        <v>-5.0999999999999996</v>
      </c>
      <c r="AF1" s="5">
        <v>-5</v>
      </c>
      <c r="AG1" s="5">
        <v>-4.9000000000000004</v>
      </c>
      <c r="AH1" s="5">
        <v>-4.8</v>
      </c>
      <c r="AI1" s="5">
        <v>-4.7</v>
      </c>
      <c r="AJ1" s="5">
        <v>-4.5999999999999996</v>
      </c>
      <c r="AK1" s="5">
        <v>-4.5</v>
      </c>
      <c r="AL1" s="5">
        <v>-4.4000000000000004</v>
      </c>
      <c r="AM1" s="5">
        <v>-4.3</v>
      </c>
      <c r="AN1" s="5">
        <v>-4.2</v>
      </c>
      <c r="AO1" s="5">
        <v>-4.0999999999999996</v>
      </c>
      <c r="AP1" s="5">
        <v>-4</v>
      </c>
      <c r="AQ1" s="5">
        <v>-3.9</v>
      </c>
      <c r="AR1" s="5">
        <v>-3.8</v>
      </c>
      <c r="AS1" s="5">
        <v>-3.7</v>
      </c>
      <c r="AT1" s="5">
        <v>-3.6</v>
      </c>
      <c r="AU1" s="5">
        <v>-3.5</v>
      </c>
      <c r="AV1" s="5">
        <v>-3.4</v>
      </c>
      <c r="AW1" s="5">
        <v>-3.3</v>
      </c>
      <c r="AX1" s="5">
        <v>-3.2</v>
      </c>
      <c r="AY1" s="5">
        <v>-3.1</v>
      </c>
      <c r="AZ1" s="5">
        <v>-3</v>
      </c>
      <c r="BA1" s="5">
        <v>-2.9</v>
      </c>
      <c r="BB1" s="5">
        <v>-2.8</v>
      </c>
      <c r="BC1" s="5">
        <v>-2.7</v>
      </c>
      <c r="BD1" s="5">
        <v>-2.6</v>
      </c>
      <c r="BE1" s="5">
        <v>-2.5</v>
      </c>
      <c r="BF1" s="5">
        <v>-2.4</v>
      </c>
      <c r="BG1" s="5">
        <v>-2.2999999999999998</v>
      </c>
      <c r="BH1" s="5">
        <v>-2.2000000000000002</v>
      </c>
      <c r="BI1" s="5">
        <v>-2.1</v>
      </c>
      <c r="BJ1" s="5">
        <v>-2</v>
      </c>
      <c r="BK1" s="5">
        <v>-1.9</v>
      </c>
      <c r="BL1" s="5">
        <v>-1.8</v>
      </c>
      <c r="BM1" s="5">
        <v>-1.7</v>
      </c>
      <c r="BN1" s="5">
        <v>-1.6</v>
      </c>
      <c r="BO1" s="5">
        <v>-1.5</v>
      </c>
      <c r="BP1" s="5">
        <v>-1.4</v>
      </c>
      <c r="BQ1" s="5">
        <v>-1.3</v>
      </c>
      <c r="BR1" s="5">
        <v>-1.2</v>
      </c>
      <c r="BS1" s="5">
        <v>-1.1000000000000001</v>
      </c>
      <c r="BT1" s="5">
        <v>-1</v>
      </c>
      <c r="BU1" s="5">
        <v>-0.9</v>
      </c>
      <c r="BV1" s="5">
        <v>-0.8</v>
      </c>
      <c r="BW1" s="5">
        <v>-0.7</v>
      </c>
      <c r="BX1" s="5">
        <v>-0.6</v>
      </c>
      <c r="BY1" s="5">
        <v>-0.5</v>
      </c>
      <c r="BZ1" s="5">
        <v>-0.4</v>
      </c>
      <c r="CA1" s="5">
        <v>-0.3</v>
      </c>
      <c r="CB1" s="5">
        <v>-0.2</v>
      </c>
      <c r="CC1" s="5">
        <v>-0.1</v>
      </c>
      <c r="CD1" s="5">
        <v>0</v>
      </c>
      <c r="CE1" s="5">
        <v>0.1</v>
      </c>
      <c r="CF1" s="5">
        <v>0.2</v>
      </c>
      <c r="CG1" s="5">
        <v>0.3</v>
      </c>
      <c r="CH1" s="5">
        <v>0.4</v>
      </c>
      <c r="CI1" s="5">
        <v>0.5</v>
      </c>
      <c r="CJ1" s="5">
        <v>0.6</v>
      </c>
      <c r="CK1" s="5">
        <v>0.7</v>
      </c>
      <c r="CL1" s="5">
        <v>0.8</v>
      </c>
      <c r="CM1" s="5">
        <v>0.9</v>
      </c>
      <c r="CN1" s="5">
        <v>1</v>
      </c>
      <c r="CO1" s="5">
        <v>1.1000000000000001</v>
      </c>
      <c r="CP1" s="5">
        <v>1.2</v>
      </c>
      <c r="CQ1" s="5">
        <v>1.3</v>
      </c>
      <c r="CR1" s="5">
        <v>1.4</v>
      </c>
      <c r="CS1" s="5">
        <v>1.5</v>
      </c>
      <c r="CT1" s="5">
        <v>1.6</v>
      </c>
      <c r="CU1" s="5">
        <v>1.7</v>
      </c>
      <c r="CV1" s="5">
        <v>1.8</v>
      </c>
      <c r="CW1" s="5">
        <v>1.9</v>
      </c>
      <c r="CX1" s="5">
        <v>2</v>
      </c>
      <c r="CY1" s="5">
        <v>2.1</v>
      </c>
      <c r="CZ1" s="5">
        <v>2.2000000000000002</v>
      </c>
      <c r="DA1" s="5">
        <v>2.2999999999999998</v>
      </c>
      <c r="DB1" s="5">
        <v>2.4</v>
      </c>
      <c r="DC1" s="5">
        <v>2.5</v>
      </c>
      <c r="DD1" s="5">
        <v>2.6</v>
      </c>
      <c r="DE1" s="5">
        <v>2.7</v>
      </c>
      <c r="DF1" s="5">
        <v>2.8</v>
      </c>
      <c r="DG1" s="5">
        <v>2.9</v>
      </c>
      <c r="DH1" s="5">
        <v>3</v>
      </c>
      <c r="DI1" s="5">
        <v>3.1</v>
      </c>
      <c r="DJ1" s="5">
        <v>3.2</v>
      </c>
      <c r="DK1" s="5">
        <v>3.3</v>
      </c>
      <c r="DL1" s="5">
        <v>3.4</v>
      </c>
      <c r="DM1" s="5">
        <v>3.5</v>
      </c>
      <c r="DN1" s="5">
        <v>3.6</v>
      </c>
      <c r="DO1" s="5">
        <v>3.7</v>
      </c>
      <c r="DP1" s="5">
        <v>3.8</v>
      </c>
      <c r="DQ1" s="5">
        <v>3.9</v>
      </c>
      <c r="DR1" s="5">
        <v>4</v>
      </c>
      <c r="DS1" s="5">
        <v>4.0999999999999996</v>
      </c>
      <c r="DT1" s="5">
        <v>4.2</v>
      </c>
      <c r="DU1" s="5">
        <v>4.3</v>
      </c>
      <c r="DV1" s="5">
        <v>4.4000000000000004</v>
      </c>
      <c r="DW1" s="5">
        <v>4.5</v>
      </c>
      <c r="DX1" s="5">
        <v>4.5999999999999996</v>
      </c>
      <c r="DY1" s="5">
        <v>4.7</v>
      </c>
      <c r="DZ1" s="5">
        <v>4.8</v>
      </c>
      <c r="EA1" s="5">
        <v>4.9000000000000004</v>
      </c>
      <c r="EB1" s="5">
        <v>5</v>
      </c>
      <c r="EC1" s="5">
        <v>5.0999999999999996</v>
      </c>
      <c r="ED1" s="5">
        <v>5.2</v>
      </c>
      <c r="EE1" s="5">
        <v>5.3</v>
      </c>
      <c r="EF1" s="5">
        <v>5.4</v>
      </c>
      <c r="EG1" s="5">
        <v>5.5</v>
      </c>
      <c r="EH1" s="5">
        <v>5.6</v>
      </c>
      <c r="EI1" s="5">
        <v>5.7</v>
      </c>
      <c r="EJ1" s="5">
        <v>5.8</v>
      </c>
      <c r="EK1" s="5">
        <v>5.9</v>
      </c>
      <c r="EL1" s="5">
        <v>6</v>
      </c>
      <c r="EM1" s="5">
        <v>6.1</v>
      </c>
      <c r="EN1" s="5">
        <v>6.2</v>
      </c>
      <c r="EO1" s="5">
        <v>6.3</v>
      </c>
      <c r="EP1" s="5">
        <v>6.4</v>
      </c>
      <c r="EQ1" s="5">
        <v>6.5</v>
      </c>
      <c r="ER1" s="5">
        <v>6.6</v>
      </c>
      <c r="ES1" s="5">
        <v>6.7</v>
      </c>
      <c r="ET1" s="5">
        <v>6.8</v>
      </c>
      <c r="EU1" s="5">
        <v>6.9</v>
      </c>
      <c r="EV1" s="5">
        <v>7</v>
      </c>
      <c r="EW1" s="5">
        <v>7.1</v>
      </c>
      <c r="EX1" s="5">
        <v>7.2</v>
      </c>
      <c r="EY1" s="5">
        <v>7.3</v>
      </c>
      <c r="EZ1" s="5">
        <v>7.4</v>
      </c>
      <c r="FA1" s="5">
        <v>7.5</v>
      </c>
      <c r="FB1" s="5">
        <v>7.6</v>
      </c>
      <c r="FC1" s="5">
        <v>7.7</v>
      </c>
      <c r="FD1" s="5">
        <v>7.8</v>
      </c>
      <c r="FE1" s="5">
        <v>7.9</v>
      </c>
      <c r="FF1" s="5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6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6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6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6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6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1" spans="1:162"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t="s">
        <v>0</v>
      </c>
      <c r="B74" t="e">
        <f>AVERAGE(A2:A69)</f>
        <v>#DIV/0!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</row>
    <row r="60" spans="1:13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</row>
    <row r="61" spans="1:13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</row>
    <row r="62" spans="1:13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</row>
    <row r="63" spans="1:13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</row>
    <row r="64" spans="1:13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</row>
    <row r="65" spans="1:16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</row>
    <row r="66" spans="1:16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</row>
    <row r="67" spans="1:16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</row>
    <row r="68" spans="1:16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</row>
    <row r="69" spans="1:16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</row>
    <row r="70" spans="1:16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FV74"/>
  <sheetViews>
    <sheetView topLeftCell="A36" workbookViewId="0">
      <selection activeCell="B73" sqref="B73:FF73"/>
    </sheetView>
  </sheetViews>
  <sheetFormatPr defaultRowHeight="15"/>
  <sheetData>
    <row r="1" spans="1:178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</row>
    <row r="2" spans="1:178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78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78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78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78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78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78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7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78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78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78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78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78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7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7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9" spans="1:162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</row>
    <row r="10" spans="1:16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</row>
    <row r="11" spans="1:16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</row>
    <row r="12" spans="1:16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</row>
    <row r="13" spans="1:16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</row>
    <row r="14" spans="1:16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</row>
    <row r="15" spans="1:16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</row>
    <row r="16" spans="1:16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</row>
    <row r="17" spans="1:13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</row>
    <row r="18" spans="1:13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</row>
    <row r="19" spans="1:13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</row>
    <row r="20" spans="1:13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</row>
    <row r="21" spans="1:13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</row>
    <row r="22" spans="1:13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</row>
    <row r="23" spans="1:13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</row>
    <row r="24" spans="1:13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</row>
    <row r="25" spans="1:13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</row>
    <row r="26" spans="1:13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</row>
    <row r="27" spans="1:13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</row>
    <row r="28" spans="1:13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</row>
    <row r="29" spans="1:13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</row>
    <row r="30" spans="1:13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</row>
    <row r="31" spans="1:13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</row>
    <row r="32" spans="1:13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</row>
    <row r="33" spans="1:13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</row>
    <row r="34" spans="1:13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</row>
    <row r="35" spans="1:13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</row>
    <row r="36" spans="1:13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</row>
    <row r="37" spans="1:13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</row>
    <row r="38" spans="1:13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</row>
    <row r="39" spans="1:13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</row>
    <row r="40" spans="1:13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</row>
    <row r="41" spans="1:13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</row>
    <row r="42" spans="1:13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</row>
    <row r="43" spans="1:13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</row>
    <row r="44" spans="1:13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</row>
    <row r="45" spans="1:13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</row>
    <row r="46" spans="1:13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</row>
    <row r="47" spans="1:13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</row>
    <row r="48" spans="1:13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</row>
    <row r="49" spans="1:13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</row>
    <row r="50" spans="1:13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</row>
    <row r="51" spans="1:13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</row>
    <row r="52" spans="1:13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</row>
    <row r="53" spans="1:13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</row>
    <row r="54" spans="1:13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</row>
    <row r="55" spans="1:13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</row>
    <row r="56" spans="1:13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</row>
    <row r="57" spans="1:13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</row>
    <row r="58" spans="1:13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</row>
    <row r="59" spans="1:132">
      <c r="A59" s="1"/>
    </row>
    <row r="60" spans="1:132">
      <c r="A60" s="1"/>
    </row>
    <row r="61" spans="1:132">
      <c r="A61" s="1"/>
    </row>
    <row r="62" spans="1:132">
      <c r="A62" s="1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FF74"/>
  <sheetViews>
    <sheetView topLeftCell="A36" workbookViewId="0">
      <selection activeCell="B73" sqref="B73:FF73"/>
    </sheetView>
  </sheetViews>
  <sheetFormatPr defaultRowHeight="15"/>
  <sheetData>
    <row r="1" spans="1:162">
      <c r="B1" s="1">
        <v>-8</v>
      </c>
      <c r="C1" s="1">
        <v>-7.9</v>
      </c>
      <c r="D1" s="1">
        <v>-7.8</v>
      </c>
      <c r="E1" s="1">
        <v>-7.7</v>
      </c>
      <c r="F1" s="1">
        <v>-7.6</v>
      </c>
      <c r="G1" s="1">
        <v>-7.5</v>
      </c>
      <c r="H1" s="1">
        <v>-7.4</v>
      </c>
      <c r="I1" s="1">
        <v>-7.3</v>
      </c>
      <c r="J1" s="1">
        <v>-7.2</v>
      </c>
      <c r="K1" s="1">
        <v>-7.1</v>
      </c>
      <c r="L1" s="1">
        <v>-7</v>
      </c>
      <c r="M1" s="1">
        <v>-6.9</v>
      </c>
      <c r="N1" s="1">
        <v>-6.8</v>
      </c>
      <c r="O1" s="1">
        <v>-6.7</v>
      </c>
      <c r="P1" s="1">
        <v>-6.6</v>
      </c>
      <c r="Q1" s="1">
        <v>-6.5</v>
      </c>
      <c r="R1" s="1">
        <v>-6.4</v>
      </c>
      <c r="S1" s="1">
        <v>-6.3</v>
      </c>
      <c r="T1" s="1">
        <v>-6.2</v>
      </c>
      <c r="U1" s="1">
        <v>-6.1</v>
      </c>
      <c r="V1" s="1">
        <v>-6</v>
      </c>
      <c r="W1" s="1">
        <v>-5.9</v>
      </c>
      <c r="X1" s="1">
        <v>-5.8</v>
      </c>
      <c r="Y1" s="1">
        <v>-5.7</v>
      </c>
      <c r="Z1" s="1">
        <v>-5.6</v>
      </c>
      <c r="AA1" s="1">
        <v>-5.5</v>
      </c>
      <c r="AB1" s="1">
        <v>-5.4</v>
      </c>
      <c r="AC1" s="1">
        <v>-5.3</v>
      </c>
      <c r="AD1" s="1">
        <v>-5.2</v>
      </c>
      <c r="AE1" s="1">
        <v>-5.0999999999999996</v>
      </c>
      <c r="AF1" s="1">
        <v>-5</v>
      </c>
      <c r="AG1" s="1">
        <v>-4.9000000000000004</v>
      </c>
      <c r="AH1" s="1">
        <v>-4.8</v>
      </c>
      <c r="AI1" s="1">
        <v>-4.7</v>
      </c>
      <c r="AJ1" s="1">
        <v>-4.5999999999999996</v>
      </c>
      <c r="AK1" s="1">
        <v>-4.5</v>
      </c>
      <c r="AL1" s="1">
        <v>-4.4000000000000004</v>
      </c>
      <c r="AM1" s="1">
        <v>-4.3</v>
      </c>
      <c r="AN1" s="1">
        <v>-4.2</v>
      </c>
      <c r="AO1" s="1">
        <v>-4.0999999999999996</v>
      </c>
      <c r="AP1" s="1">
        <v>-4</v>
      </c>
      <c r="AQ1" s="1">
        <v>-3.9</v>
      </c>
      <c r="AR1" s="1">
        <v>-3.8</v>
      </c>
      <c r="AS1" s="1">
        <v>-3.7</v>
      </c>
      <c r="AT1" s="1">
        <v>-3.6</v>
      </c>
      <c r="AU1" s="1">
        <v>-3.5</v>
      </c>
      <c r="AV1" s="1">
        <v>-3.4</v>
      </c>
      <c r="AW1" s="1">
        <v>-3.3</v>
      </c>
      <c r="AX1" s="1">
        <v>-3.2</v>
      </c>
      <c r="AY1" s="1">
        <v>-3.1</v>
      </c>
      <c r="AZ1" s="1">
        <v>-3</v>
      </c>
      <c r="BA1" s="1">
        <v>-2.9</v>
      </c>
      <c r="BB1" s="1">
        <v>-2.8</v>
      </c>
      <c r="BC1" s="1">
        <v>-2.7</v>
      </c>
      <c r="BD1" s="1">
        <v>-2.6</v>
      </c>
      <c r="BE1" s="1">
        <v>-2.5</v>
      </c>
      <c r="BF1" s="1">
        <v>-2.4</v>
      </c>
      <c r="BG1" s="1">
        <v>-2.2999999999999998</v>
      </c>
      <c r="BH1" s="1">
        <v>-2.2000000000000002</v>
      </c>
      <c r="BI1" s="1">
        <v>-2.1</v>
      </c>
      <c r="BJ1" s="1">
        <v>-2</v>
      </c>
      <c r="BK1" s="1">
        <v>-1.9</v>
      </c>
      <c r="BL1" s="1">
        <v>-1.8</v>
      </c>
      <c r="BM1" s="1">
        <v>-1.7</v>
      </c>
      <c r="BN1" s="1">
        <v>-1.6</v>
      </c>
      <c r="BO1" s="1">
        <v>-1.5</v>
      </c>
      <c r="BP1" s="1">
        <v>-1.4</v>
      </c>
      <c r="BQ1" s="1">
        <v>-1.3</v>
      </c>
      <c r="BR1" s="1">
        <v>-1.2</v>
      </c>
      <c r="BS1" s="1">
        <v>-1.1000000000000001</v>
      </c>
      <c r="BT1" s="1">
        <v>-1</v>
      </c>
      <c r="BU1" s="1">
        <v>-0.9</v>
      </c>
      <c r="BV1" s="1">
        <v>-0.8</v>
      </c>
      <c r="BW1" s="1">
        <v>-0.7</v>
      </c>
      <c r="BX1" s="1">
        <v>-0.6</v>
      </c>
      <c r="BY1" s="1">
        <v>-0.5</v>
      </c>
      <c r="BZ1" s="1">
        <v>-0.4</v>
      </c>
      <c r="CA1" s="1">
        <v>-0.3</v>
      </c>
      <c r="CB1" s="1">
        <v>-0.2</v>
      </c>
      <c r="CC1" s="1">
        <v>-0.1</v>
      </c>
      <c r="CD1" s="1">
        <v>0</v>
      </c>
      <c r="CE1" s="1">
        <v>0.1</v>
      </c>
      <c r="CF1" s="1">
        <v>0.2</v>
      </c>
      <c r="CG1" s="1">
        <v>0.3</v>
      </c>
      <c r="CH1" s="1">
        <v>0.4</v>
      </c>
      <c r="CI1" s="1">
        <v>0.5</v>
      </c>
      <c r="CJ1" s="1">
        <v>0.6</v>
      </c>
      <c r="CK1" s="1">
        <v>0.7</v>
      </c>
      <c r="CL1" s="1">
        <v>0.8</v>
      </c>
      <c r="CM1" s="1">
        <v>0.9</v>
      </c>
      <c r="CN1" s="1">
        <v>1</v>
      </c>
      <c r="CO1" s="1">
        <v>1.1000000000000001</v>
      </c>
      <c r="CP1" s="1">
        <v>1.2</v>
      </c>
      <c r="CQ1" s="1">
        <v>1.3</v>
      </c>
      <c r="CR1" s="1">
        <v>1.4</v>
      </c>
      <c r="CS1" s="1">
        <v>1.5</v>
      </c>
      <c r="CT1" s="1">
        <v>1.6</v>
      </c>
      <c r="CU1" s="1">
        <v>1.7</v>
      </c>
      <c r="CV1" s="1">
        <v>1.8</v>
      </c>
      <c r="CW1" s="1">
        <v>1.9</v>
      </c>
      <c r="CX1" s="1">
        <v>2</v>
      </c>
      <c r="CY1" s="1">
        <v>2.1</v>
      </c>
      <c r="CZ1" s="1">
        <v>2.2000000000000002</v>
      </c>
      <c r="DA1" s="1">
        <v>2.2999999999999998</v>
      </c>
      <c r="DB1" s="1">
        <v>2.4</v>
      </c>
      <c r="DC1" s="1">
        <v>2.5</v>
      </c>
      <c r="DD1" s="1">
        <v>2.6</v>
      </c>
      <c r="DE1" s="1">
        <v>2.7</v>
      </c>
      <c r="DF1" s="1">
        <v>2.8</v>
      </c>
      <c r="DG1" s="1">
        <v>2.9</v>
      </c>
      <c r="DH1" s="1">
        <v>3</v>
      </c>
      <c r="DI1" s="1">
        <v>3.1</v>
      </c>
      <c r="DJ1" s="1">
        <v>3.2</v>
      </c>
      <c r="DK1" s="1">
        <v>3.3</v>
      </c>
      <c r="DL1" s="1">
        <v>3.4</v>
      </c>
      <c r="DM1" s="1">
        <v>3.5</v>
      </c>
      <c r="DN1" s="1">
        <v>3.6</v>
      </c>
      <c r="DO1" s="1">
        <v>3.7</v>
      </c>
      <c r="DP1" s="1">
        <v>3.8</v>
      </c>
      <c r="DQ1" s="1">
        <v>3.9</v>
      </c>
      <c r="DR1" s="1">
        <v>4</v>
      </c>
      <c r="DS1" s="1">
        <v>4.0999999999999996</v>
      </c>
      <c r="DT1" s="1">
        <v>4.2</v>
      </c>
      <c r="DU1" s="1">
        <v>4.3</v>
      </c>
      <c r="DV1" s="1">
        <v>4.4000000000000004</v>
      </c>
      <c r="DW1" s="1">
        <v>4.5</v>
      </c>
      <c r="DX1" s="1">
        <v>4.5999999999999996</v>
      </c>
      <c r="DY1" s="1">
        <v>4.7</v>
      </c>
      <c r="DZ1" s="1">
        <v>4.8</v>
      </c>
      <c r="EA1" s="1">
        <v>4.9000000000000004</v>
      </c>
      <c r="EB1" s="1">
        <v>5</v>
      </c>
      <c r="EC1" s="1">
        <v>5.0999999999999996</v>
      </c>
      <c r="ED1" s="1">
        <v>5.2</v>
      </c>
      <c r="EE1" s="1">
        <v>5.3</v>
      </c>
      <c r="EF1" s="1">
        <v>5.4</v>
      </c>
      <c r="EG1" s="1">
        <v>5.5</v>
      </c>
      <c r="EH1" s="1">
        <v>5.6</v>
      </c>
      <c r="EI1" s="1">
        <v>5.7</v>
      </c>
      <c r="EJ1" s="1">
        <v>5.8</v>
      </c>
      <c r="EK1" s="1">
        <v>5.9</v>
      </c>
      <c r="EL1" s="1">
        <v>6</v>
      </c>
      <c r="EM1" s="1">
        <v>6.1</v>
      </c>
      <c r="EN1" s="1">
        <v>6.2</v>
      </c>
      <c r="EO1" s="1">
        <v>6.3</v>
      </c>
      <c r="EP1" s="1">
        <v>6.4</v>
      </c>
      <c r="EQ1" s="1">
        <v>6.5</v>
      </c>
      <c r="ER1" s="1">
        <v>6.6</v>
      </c>
      <c r="ES1" s="1">
        <v>6.7</v>
      </c>
      <c r="ET1" s="1">
        <v>6.8</v>
      </c>
      <c r="EU1" s="1">
        <v>6.9</v>
      </c>
      <c r="EV1" s="1">
        <v>7</v>
      </c>
      <c r="EW1" s="1">
        <v>7.1</v>
      </c>
      <c r="EX1" s="1">
        <v>7.2</v>
      </c>
      <c r="EY1" s="1">
        <v>7.3</v>
      </c>
      <c r="EZ1" s="1">
        <v>7.4</v>
      </c>
      <c r="FA1" s="1">
        <v>7.5</v>
      </c>
      <c r="FB1" s="1">
        <v>7.6</v>
      </c>
      <c r="FC1" s="1">
        <v>7.7</v>
      </c>
      <c r="FD1" s="1">
        <v>7.8</v>
      </c>
      <c r="FE1" s="1">
        <v>7.9</v>
      </c>
      <c r="FF1" s="1">
        <v>8</v>
      </c>
    </row>
    <row r="2" spans="1:16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</row>
    <row r="3" spans="1:16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</row>
    <row r="4" spans="1:162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</row>
    <row r="5" spans="1:16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</row>
    <row r="6" spans="1:16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</row>
    <row r="7" spans="1:16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</row>
    <row r="8" spans="1:162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</row>
    <row r="71" spans="1:162">
      <c r="A71" s="6"/>
      <c r="B71" s="6" t="e">
        <f>AVERAGE(B2:B69)</f>
        <v>#DIV/0!</v>
      </c>
      <c r="C71" s="6" t="e">
        <f t="shared" ref="C71:BN71" si="0">AVERAGE(C2:C69)</f>
        <v>#DIV/0!</v>
      </c>
      <c r="D71" s="6" t="e">
        <f t="shared" si="0"/>
        <v>#DIV/0!</v>
      </c>
      <c r="E71" s="6" t="e">
        <f t="shared" si="0"/>
        <v>#DIV/0!</v>
      </c>
      <c r="F71" s="6" t="e">
        <f t="shared" si="0"/>
        <v>#DIV/0!</v>
      </c>
      <c r="G71" s="6" t="e">
        <f t="shared" si="0"/>
        <v>#DIV/0!</v>
      </c>
      <c r="H71" s="6" t="e">
        <f t="shared" si="0"/>
        <v>#DIV/0!</v>
      </c>
      <c r="I71" s="6" t="e">
        <f t="shared" si="0"/>
        <v>#DIV/0!</v>
      </c>
      <c r="J71" s="6" t="e">
        <f t="shared" si="0"/>
        <v>#DIV/0!</v>
      </c>
      <c r="K71" s="6" t="e">
        <f t="shared" si="0"/>
        <v>#DIV/0!</v>
      </c>
      <c r="L71" s="6" t="e">
        <f t="shared" si="0"/>
        <v>#DIV/0!</v>
      </c>
      <c r="M71" s="6" t="e">
        <f t="shared" si="0"/>
        <v>#DIV/0!</v>
      </c>
      <c r="N71" s="6" t="e">
        <f t="shared" si="0"/>
        <v>#DIV/0!</v>
      </c>
      <c r="O71" s="6" t="e">
        <f t="shared" si="0"/>
        <v>#DIV/0!</v>
      </c>
      <c r="P71" s="6" t="e">
        <f t="shared" si="0"/>
        <v>#DIV/0!</v>
      </c>
      <c r="Q71" s="6" t="e">
        <f t="shared" si="0"/>
        <v>#DIV/0!</v>
      </c>
      <c r="R71" s="6" t="e">
        <f t="shared" si="0"/>
        <v>#DIV/0!</v>
      </c>
      <c r="S71" s="6" t="e">
        <f t="shared" si="0"/>
        <v>#DIV/0!</v>
      </c>
      <c r="T71" s="6" t="e">
        <f t="shared" si="0"/>
        <v>#DIV/0!</v>
      </c>
      <c r="U71" s="6" t="e">
        <f t="shared" si="0"/>
        <v>#DIV/0!</v>
      </c>
      <c r="V71" s="6" t="e">
        <f t="shared" si="0"/>
        <v>#DIV/0!</v>
      </c>
      <c r="W71" s="6" t="e">
        <f t="shared" si="0"/>
        <v>#DIV/0!</v>
      </c>
      <c r="X71" s="6" t="e">
        <f t="shared" si="0"/>
        <v>#DIV/0!</v>
      </c>
      <c r="Y71" s="6" t="e">
        <f t="shared" si="0"/>
        <v>#DIV/0!</v>
      </c>
      <c r="Z71" s="6" t="e">
        <f t="shared" si="0"/>
        <v>#DIV/0!</v>
      </c>
      <c r="AA71" s="6" t="e">
        <f t="shared" si="0"/>
        <v>#DIV/0!</v>
      </c>
      <c r="AB71" s="6" t="e">
        <f t="shared" si="0"/>
        <v>#DIV/0!</v>
      </c>
      <c r="AC71" s="6" t="e">
        <f t="shared" si="0"/>
        <v>#DIV/0!</v>
      </c>
      <c r="AD71" s="6" t="e">
        <f t="shared" si="0"/>
        <v>#DIV/0!</v>
      </c>
      <c r="AE71" s="6" t="e">
        <f t="shared" si="0"/>
        <v>#DIV/0!</v>
      </c>
      <c r="AF71" s="6" t="e">
        <f t="shared" si="0"/>
        <v>#DIV/0!</v>
      </c>
      <c r="AG71" s="6" t="e">
        <f t="shared" si="0"/>
        <v>#DIV/0!</v>
      </c>
      <c r="AH71" s="6" t="e">
        <f t="shared" si="0"/>
        <v>#DIV/0!</v>
      </c>
      <c r="AI71" s="6" t="e">
        <f t="shared" si="0"/>
        <v>#DIV/0!</v>
      </c>
      <c r="AJ71" s="6" t="e">
        <f t="shared" si="0"/>
        <v>#DIV/0!</v>
      </c>
      <c r="AK71" s="6" t="e">
        <f t="shared" si="0"/>
        <v>#DIV/0!</v>
      </c>
      <c r="AL71" s="6" t="e">
        <f t="shared" si="0"/>
        <v>#DIV/0!</v>
      </c>
      <c r="AM71" s="6" t="e">
        <f t="shared" si="0"/>
        <v>#DIV/0!</v>
      </c>
      <c r="AN71" s="6" t="e">
        <f t="shared" si="0"/>
        <v>#DIV/0!</v>
      </c>
      <c r="AO71" s="6" t="e">
        <f t="shared" si="0"/>
        <v>#DIV/0!</v>
      </c>
      <c r="AP71" s="6" t="e">
        <f t="shared" si="0"/>
        <v>#DIV/0!</v>
      </c>
      <c r="AQ71" s="6" t="e">
        <f t="shared" si="0"/>
        <v>#DIV/0!</v>
      </c>
      <c r="AR71" s="6" t="e">
        <f t="shared" si="0"/>
        <v>#DIV/0!</v>
      </c>
      <c r="AS71" s="6" t="e">
        <f t="shared" si="0"/>
        <v>#DIV/0!</v>
      </c>
      <c r="AT71" s="6" t="e">
        <f t="shared" si="0"/>
        <v>#DIV/0!</v>
      </c>
      <c r="AU71" s="6" t="e">
        <f t="shared" si="0"/>
        <v>#DIV/0!</v>
      </c>
      <c r="AV71" s="6" t="e">
        <f t="shared" si="0"/>
        <v>#DIV/0!</v>
      </c>
      <c r="AW71" s="6" t="e">
        <f t="shared" si="0"/>
        <v>#DIV/0!</v>
      </c>
      <c r="AX71" s="6" t="e">
        <f t="shared" si="0"/>
        <v>#DIV/0!</v>
      </c>
      <c r="AY71" s="6" t="e">
        <f t="shared" si="0"/>
        <v>#DIV/0!</v>
      </c>
      <c r="AZ71" s="6" t="e">
        <f t="shared" si="0"/>
        <v>#DIV/0!</v>
      </c>
      <c r="BA71" s="6" t="e">
        <f t="shared" si="0"/>
        <v>#DIV/0!</v>
      </c>
      <c r="BB71" s="6" t="e">
        <f t="shared" si="0"/>
        <v>#DIV/0!</v>
      </c>
      <c r="BC71" s="6" t="e">
        <f t="shared" si="0"/>
        <v>#DIV/0!</v>
      </c>
      <c r="BD71" s="6" t="e">
        <f t="shared" si="0"/>
        <v>#DIV/0!</v>
      </c>
      <c r="BE71" s="6" t="e">
        <f t="shared" si="0"/>
        <v>#DIV/0!</v>
      </c>
      <c r="BF71" s="6" t="e">
        <f t="shared" si="0"/>
        <v>#DIV/0!</v>
      </c>
      <c r="BG71" s="6" t="e">
        <f t="shared" si="0"/>
        <v>#DIV/0!</v>
      </c>
      <c r="BH71" s="6" t="e">
        <f t="shared" si="0"/>
        <v>#DIV/0!</v>
      </c>
      <c r="BI71" s="6" t="e">
        <f t="shared" si="0"/>
        <v>#DIV/0!</v>
      </c>
      <c r="BJ71" s="6" t="e">
        <f t="shared" si="0"/>
        <v>#DIV/0!</v>
      </c>
      <c r="BK71" s="6" t="e">
        <f t="shared" si="0"/>
        <v>#DIV/0!</v>
      </c>
      <c r="BL71" s="6" t="e">
        <f t="shared" si="0"/>
        <v>#DIV/0!</v>
      </c>
      <c r="BM71" s="6" t="e">
        <f t="shared" si="0"/>
        <v>#DIV/0!</v>
      </c>
      <c r="BN71" s="6" t="e">
        <f t="shared" si="0"/>
        <v>#DIV/0!</v>
      </c>
      <c r="BO71" s="6" t="e">
        <f t="shared" ref="BO71:DZ71" si="1">AVERAGE(BO2:BO69)</f>
        <v>#DIV/0!</v>
      </c>
      <c r="BP71" s="6" t="e">
        <f t="shared" si="1"/>
        <v>#DIV/0!</v>
      </c>
      <c r="BQ71" s="6" t="e">
        <f t="shared" si="1"/>
        <v>#DIV/0!</v>
      </c>
      <c r="BR71" s="6" t="e">
        <f t="shared" si="1"/>
        <v>#DIV/0!</v>
      </c>
      <c r="BS71" s="6" t="e">
        <f t="shared" si="1"/>
        <v>#DIV/0!</v>
      </c>
      <c r="BT71" s="6" t="e">
        <f t="shared" si="1"/>
        <v>#DIV/0!</v>
      </c>
      <c r="BU71" s="6" t="e">
        <f t="shared" si="1"/>
        <v>#DIV/0!</v>
      </c>
      <c r="BV71" s="6" t="e">
        <f t="shared" si="1"/>
        <v>#DIV/0!</v>
      </c>
      <c r="BW71" s="6" t="e">
        <f t="shared" si="1"/>
        <v>#DIV/0!</v>
      </c>
      <c r="BX71" s="6" t="e">
        <f t="shared" si="1"/>
        <v>#DIV/0!</v>
      </c>
      <c r="BY71" s="6" t="e">
        <f t="shared" si="1"/>
        <v>#DIV/0!</v>
      </c>
      <c r="BZ71" s="6" t="e">
        <f t="shared" si="1"/>
        <v>#DIV/0!</v>
      </c>
      <c r="CA71" s="6" t="e">
        <f t="shared" si="1"/>
        <v>#DIV/0!</v>
      </c>
      <c r="CB71" s="6" t="e">
        <f t="shared" si="1"/>
        <v>#DIV/0!</v>
      </c>
      <c r="CC71" s="6" t="e">
        <f t="shared" si="1"/>
        <v>#DIV/0!</v>
      </c>
      <c r="CD71" s="6" t="e">
        <f t="shared" si="1"/>
        <v>#DIV/0!</v>
      </c>
      <c r="CE71" s="6" t="e">
        <f t="shared" si="1"/>
        <v>#DIV/0!</v>
      </c>
      <c r="CF71" s="6" t="e">
        <f t="shared" si="1"/>
        <v>#DIV/0!</v>
      </c>
      <c r="CG71" s="6" t="e">
        <f t="shared" si="1"/>
        <v>#DIV/0!</v>
      </c>
      <c r="CH71" s="6" t="e">
        <f t="shared" si="1"/>
        <v>#DIV/0!</v>
      </c>
      <c r="CI71" s="6" t="e">
        <f t="shared" si="1"/>
        <v>#DIV/0!</v>
      </c>
      <c r="CJ71" s="6" t="e">
        <f t="shared" si="1"/>
        <v>#DIV/0!</v>
      </c>
      <c r="CK71" s="6" t="e">
        <f t="shared" si="1"/>
        <v>#DIV/0!</v>
      </c>
      <c r="CL71" s="6" t="e">
        <f t="shared" si="1"/>
        <v>#DIV/0!</v>
      </c>
      <c r="CM71" s="6" t="e">
        <f t="shared" si="1"/>
        <v>#DIV/0!</v>
      </c>
      <c r="CN71" s="6" t="e">
        <f t="shared" si="1"/>
        <v>#DIV/0!</v>
      </c>
      <c r="CO71" s="6" t="e">
        <f t="shared" si="1"/>
        <v>#DIV/0!</v>
      </c>
      <c r="CP71" s="6" t="e">
        <f t="shared" si="1"/>
        <v>#DIV/0!</v>
      </c>
      <c r="CQ71" s="6" t="e">
        <f t="shared" si="1"/>
        <v>#DIV/0!</v>
      </c>
      <c r="CR71" s="6" t="e">
        <f t="shared" si="1"/>
        <v>#DIV/0!</v>
      </c>
      <c r="CS71" s="6" t="e">
        <f t="shared" si="1"/>
        <v>#DIV/0!</v>
      </c>
      <c r="CT71" s="6" t="e">
        <f t="shared" si="1"/>
        <v>#DIV/0!</v>
      </c>
      <c r="CU71" s="6" t="e">
        <f t="shared" si="1"/>
        <v>#DIV/0!</v>
      </c>
      <c r="CV71" s="6" t="e">
        <f t="shared" si="1"/>
        <v>#DIV/0!</v>
      </c>
      <c r="CW71" s="6" t="e">
        <f t="shared" si="1"/>
        <v>#DIV/0!</v>
      </c>
      <c r="CX71" s="6" t="e">
        <f t="shared" si="1"/>
        <v>#DIV/0!</v>
      </c>
      <c r="CY71" s="6" t="e">
        <f t="shared" si="1"/>
        <v>#DIV/0!</v>
      </c>
      <c r="CZ71" s="6" t="e">
        <f t="shared" si="1"/>
        <v>#DIV/0!</v>
      </c>
      <c r="DA71" s="6" t="e">
        <f t="shared" si="1"/>
        <v>#DIV/0!</v>
      </c>
      <c r="DB71" s="6" t="e">
        <f t="shared" si="1"/>
        <v>#DIV/0!</v>
      </c>
      <c r="DC71" s="6" t="e">
        <f t="shared" si="1"/>
        <v>#DIV/0!</v>
      </c>
      <c r="DD71" s="6" t="e">
        <f t="shared" si="1"/>
        <v>#DIV/0!</v>
      </c>
      <c r="DE71" s="6" t="e">
        <f t="shared" si="1"/>
        <v>#DIV/0!</v>
      </c>
      <c r="DF71" s="6" t="e">
        <f t="shared" si="1"/>
        <v>#DIV/0!</v>
      </c>
      <c r="DG71" s="6" t="e">
        <f t="shared" si="1"/>
        <v>#DIV/0!</v>
      </c>
      <c r="DH71" s="6" t="e">
        <f t="shared" si="1"/>
        <v>#DIV/0!</v>
      </c>
      <c r="DI71" s="6" t="e">
        <f t="shared" si="1"/>
        <v>#DIV/0!</v>
      </c>
      <c r="DJ71" s="6" t="e">
        <f t="shared" si="1"/>
        <v>#DIV/0!</v>
      </c>
      <c r="DK71" s="6" t="e">
        <f t="shared" si="1"/>
        <v>#DIV/0!</v>
      </c>
      <c r="DL71" s="6" t="e">
        <f t="shared" si="1"/>
        <v>#DIV/0!</v>
      </c>
      <c r="DM71" s="6" t="e">
        <f t="shared" si="1"/>
        <v>#DIV/0!</v>
      </c>
      <c r="DN71" s="6" t="e">
        <f t="shared" si="1"/>
        <v>#DIV/0!</v>
      </c>
      <c r="DO71" s="6" t="e">
        <f t="shared" si="1"/>
        <v>#DIV/0!</v>
      </c>
      <c r="DP71" s="6" t="e">
        <f t="shared" si="1"/>
        <v>#DIV/0!</v>
      </c>
      <c r="DQ71" s="6" t="e">
        <f t="shared" si="1"/>
        <v>#DIV/0!</v>
      </c>
      <c r="DR71" s="6" t="e">
        <f t="shared" si="1"/>
        <v>#DIV/0!</v>
      </c>
      <c r="DS71" s="6" t="e">
        <f t="shared" si="1"/>
        <v>#DIV/0!</v>
      </c>
      <c r="DT71" s="6" t="e">
        <f t="shared" si="1"/>
        <v>#DIV/0!</v>
      </c>
      <c r="DU71" s="6" t="e">
        <f t="shared" si="1"/>
        <v>#DIV/0!</v>
      </c>
      <c r="DV71" s="6" t="e">
        <f t="shared" si="1"/>
        <v>#DIV/0!</v>
      </c>
      <c r="DW71" s="6" t="e">
        <f t="shared" si="1"/>
        <v>#DIV/0!</v>
      </c>
      <c r="DX71" s="6" t="e">
        <f t="shared" si="1"/>
        <v>#DIV/0!</v>
      </c>
      <c r="DY71" s="6" t="e">
        <f t="shared" si="1"/>
        <v>#DIV/0!</v>
      </c>
      <c r="DZ71" s="6" t="e">
        <f t="shared" si="1"/>
        <v>#DIV/0!</v>
      </c>
      <c r="EA71" s="6" t="e">
        <f t="shared" ref="EA71:FF71" si="2">AVERAGE(EA2:EA69)</f>
        <v>#DIV/0!</v>
      </c>
      <c r="EB71" s="6" t="e">
        <f t="shared" si="2"/>
        <v>#DIV/0!</v>
      </c>
      <c r="EC71" s="6" t="e">
        <f t="shared" si="2"/>
        <v>#DIV/0!</v>
      </c>
      <c r="ED71" s="6" t="e">
        <f t="shared" si="2"/>
        <v>#DIV/0!</v>
      </c>
      <c r="EE71" s="6" t="e">
        <f t="shared" si="2"/>
        <v>#DIV/0!</v>
      </c>
      <c r="EF71" s="6" t="e">
        <f t="shared" si="2"/>
        <v>#DIV/0!</v>
      </c>
      <c r="EG71" s="6" t="e">
        <f t="shared" si="2"/>
        <v>#DIV/0!</v>
      </c>
      <c r="EH71" s="6" t="e">
        <f t="shared" si="2"/>
        <v>#DIV/0!</v>
      </c>
      <c r="EI71" s="6" t="e">
        <f t="shared" si="2"/>
        <v>#DIV/0!</v>
      </c>
      <c r="EJ71" s="6" t="e">
        <f t="shared" si="2"/>
        <v>#DIV/0!</v>
      </c>
      <c r="EK71" s="6" t="e">
        <f t="shared" si="2"/>
        <v>#DIV/0!</v>
      </c>
      <c r="EL71" s="6" t="e">
        <f t="shared" si="2"/>
        <v>#DIV/0!</v>
      </c>
      <c r="EM71" s="6" t="e">
        <f t="shared" si="2"/>
        <v>#DIV/0!</v>
      </c>
      <c r="EN71" s="6" t="e">
        <f t="shared" si="2"/>
        <v>#DIV/0!</v>
      </c>
      <c r="EO71" s="6" t="e">
        <f t="shared" si="2"/>
        <v>#DIV/0!</v>
      </c>
      <c r="EP71" s="6" t="e">
        <f t="shared" si="2"/>
        <v>#DIV/0!</v>
      </c>
      <c r="EQ71" s="6" t="e">
        <f t="shared" si="2"/>
        <v>#DIV/0!</v>
      </c>
      <c r="ER71" s="6" t="e">
        <f t="shared" si="2"/>
        <v>#DIV/0!</v>
      </c>
      <c r="ES71" s="6" t="e">
        <f t="shared" si="2"/>
        <v>#DIV/0!</v>
      </c>
      <c r="ET71" s="6" t="e">
        <f t="shared" si="2"/>
        <v>#DIV/0!</v>
      </c>
      <c r="EU71" s="6" t="e">
        <f t="shared" si="2"/>
        <v>#DIV/0!</v>
      </c>
      <c r="EV71" s="6" t="e">
        <f t="shared" si="2"/>
        <v>#DIV/0!</v>
      </c>
      <c r="EW71" s="6" t="e">
        <f t="shared" si="2"/>
        <v>#DIV/0!</v>
      </c>
      <c r="EX71" s="6" t="e">
        <f t="shared" si="2"/>
        <v>#DIV/0!</v>
      </c>
      <c r="EY71" s="6" t="e">
        <f t="shared" si="2"/>
        <v>#DIV/0!</v>
      </c>
      <c r="EZ71" s="6" t="e">
        <f t="shared" si="2"/>
        <v>#DIV/0!</v>
      </c>
      <c r="FA71" s="6" t="e">
        <f t="shared" si="2"/>
        <v>#DIV/0!</v>
      </c>
      <c r="FB71" s="6" t="e">
        <f t="shared" si="2"/>
        <v>#DIV/0!</v>
      </c>
      <c r="FC71" s="6" t="e">
        <f t="shared" si="2"/>
        <v>#DIV/0!</v>
      </c>
      <c r="FD71" s="6" t="e">
        <f t="shared" si="2"/>
        <v>#DIV/0!</v>
      </c>
      <c r="FE71" s="6" t="e">
        <f t="shared" si="2"/>
        <v>#DIV/0!</v>
      </c>
      <c r="FF71" s="6" t="e">
        <f t="shared" si="2"/>
        <v>#DIV/0!</v>
      </c>
    </row>
    <row r="72" spans="1:162">
      <c r="A72" s="6"/>
      <c r="B72" s="6" t="e">
        <f>STDEV(B2:B69)</f>
        <v>#DIV/0!</v>
      </c>
      <c r="C72" s="6" t="e">
        <f t="shared" ref="C72:BN72" si="3">STDEV(C2:C69)</f>
        <v>#DIV/0!</v>
      </c>
      <c r="D72" s="6" t="e">
        <f t="shared" si="3"/>
        <v>#DIV/0!</v>
      </c>
      <c r="E72" s="6" t="e">
        <f t="shared" si="3"/>
        <v>#DIV/0!</v>
      </c>
      <c r="F72" s="6" t="e">
        <f t="shared" si="3"/>
        <v>#DIV/0!</v>
      </c>
      <c r="G72" s="6" t="e">
        <f t="shared" si="3"/>
        <v>#DIV/0!</v>
      </c>
      <c r="H72" s="6" t="e">
        <f t="shared" si="3"/>
        <v>#DIV/0!</v>
      </c>
      <c r="I72" s="6" t="e">
        <f t="shared" si="3"/>
        <v>#DIV/0!</v>
      </c>
      <c r="J72" s="6" t="e">
        <f t="shared" si="3"/>
        <v>#DIV/0!</v>
      </c>
      <c r="K72" s="6" t="e">
        <f t="shared" si="3"/>
        <v>#DIV/0!</v>
      </c>
      <c r="L72" s="6" t="e">
        <f t="shared" si="3"/>
        <v>#DIV/0!</v>
      </c>
      <c r="M72" s="6" t="e">
        <f t="shared" si="3"/>
        <v>#DIV/0!</v>
      </c>
      <c r="N72" s="6" t="e">
        <f t="shared" si="3"/>
        <v>#DIV/0!</v>
      </c>
      <c r="O72" s="6" t="e">
        <f t="shared" si="3"/>
        <v>#DIV/0!</v>
      </c>
      <c r="P72" s="6" t="e">
        <f t="shared" si="3"/>
        <v>#DIV/0!</v>
      </c>
      <c r="Q72" s="6" t="e">
        <f t="shared" si="3"/>
        <v>#DIV/0!</v>
      </c>
      <c r="R72" s="6" t="e">
        <f t="shared" si="3"/>
        <v>#DIV/0!</v>
      </c>
      <c r="S72" s="6" t="e">
        <f t="shared" si="3"/>
        <v>#DIV/0!</v>
      </c>
      <c r="T72" s="6" t="e">
        <f t="shared" si="3"/>
        <v>#DIV/0!</v>
      </c>
      <c r="U72" s="6" t="e">
        <f t="shared" si="3"/>
        <v>#DIV/0!</v>
      </c>
      <c r="V72" s="6" t="e">
        <f t="shared" si="3"/>
        <v>#DIV/0!</v>
      </c>
      <c r="W72" s="6" t="e">
        <f t="shared" si="3"/>
        <v>#DIV/0!</v>
      </c>
      <c r="X72" s="6" t="e">
        <f t="shared" si="3"/>
        <v>#DIV/0!</v>
      </c>
      <c r="Y72" s="6" t="e">
        <f t="shared" si="3"/>
        <v>#DIV/0!</v>
      </c>
      <c r="Z72" s="6" t="e">
        <f t="shared" si="3"/>
        <v>#DIV/0!</v>
      </c>
      <c r="AA72" s="6" t="e">
        <f t="shared" si="3"/>
        <v>#DIV/0!</v>
      </c>
      <c r="AB72" s="6" t="e">
        <f t="shared" si="3"/>
        <v>#DIV/0!</v>
      </c>
      <c r="AC72" s="6" t="e">
        <f t="shared" si="3"/>
        <v>#DIV/0!</v>
      </c>
      <c r="AD72" s="6" t="e">
        <f t="shared" si="3"/>
        <v>#DIV/0!</v>
      </c>
      <c r="AE72" s="6" t="e">
        <f t="shared" si="3"/>
        <v>#DIV/0!</v>
      </c>
      <c r="AF72" s="6" t="e">
        <f t="shared" si="3"/>
        <v>#DIV/0!</v>
      </c>
      <c r="AG72" s="6" t="e">
        <f t="shared" si="3"/>
        <v>#DIV/0!</v>
      </c>
      <c r="AH72" s="6" t="e">
        <f t="shared" si="3"/>
        <v>#DIV/0!</v>
      </c>
      <c r="AI72" s="6" t="e">
        <f t="shared" si="3"/>
        <v>#DIV/0!</v>
      </c>
      <c r="AJ72" s="6" t="e">
        <f t="shared" si="3"/>
        <v>#DIV/0!</v>
      </c>
      <c r="AK72" s="6" t="e">
        <f t="shared" si="3"/>
        <v>#DIV/0!</v>
      </c>
      <c r="AL72" s="6" t="e">
        <f t="shared" si="3"/>
        <v>#DIV/0!</v>
      </c>
      <c r="AM72" s="6" t="e">
        <f t="shared" si="3"/>
        <v>#DIV/0!</v>
      </c>
      <c r="AN72" s="6" t="e">
        <f t="shared" si="3"/>
        <v>#DIV/0!</v>
      </c>
      <c r="AO72" s="6" t="e">
        <f t="shared" si="3"/>
        <v>#DIV/0!</v>
      </c>
      <c r="AP72" s="6" t="e">
        <f t="shared" si="3"/>
        <v>#DIV/0!</v>
      </c>
      <c r="AQ72" s="6" t="e">
        <f t="shared" si="3"/>
        <v>#DIV/0!</v>
      </c>
      <c r="AR72" s="6" t="e">
        <f t="shared" si="3"/>
        <v>#DIV/0!</v>
      </c>
      <c r="AS72" s="6" t="e">
        <f t="shared" si="3"/>
        <v>#DIV/0!</v>
      </c>
      <c r="AT72" s="6" t="e">
        <f t="shared" si="3"/>
        <v>#DIV/0!</v>
      </c>
      <c r="AU72" s="6" t="e">
        <f t="shared" si="3"/>
        <v>#DIV/0!</v>
      </c>
      <c r="AV72" s="6" t="e">
        <f t="shared" si="3"/>
        <v>#DIV/0!</v>
      </c>
      <c r="AW72" s="6" t="e">
        <f t="shared" si="3"/>
        <v>#DIV/0!</v>
      </c>
      <c r="AX72" s="6" t="e">
        <f t="shared" si="3"/>
        <v>#DIV/0!</v>
      </c>
      <c r="AY72" s="6" t="e">
        <f t="shared" si="3"/>
        <v>#DIV/0!</v>
      </c>
      <c r="AZ72" s="6" t="e">
        <f t="shared" si="3"/>
        <v>#DIV/0!</v>
      </c>
      <c r="BA72" s="6" t="e">
        <f t="shared" si="3"/>
        <v>#DIV/0!</v>
      </c>
      <c r="BB72" s="6" t="e">
        <f t="shared" si="3"/>
        <v>#DIV/0!</v>
      </c>
      <c r="BC72" s="6" t="e">
        <f t="shared" si="3"/>
        <v>#DIV/0!</v>
      </c>
      <c r="BD72" s="6" t="e">
        <f t="shared" si="3"/>
        <v>#DIV/0!</v>
      </c>
      <c r="BE72" s="6" t="e">
        <f t="shared" si="3"/>
        <v>#DIV/0!</v>
      </c>
      <c r="BF72" s="6" t="e">
        <f t="shared" si="3"/>
        <v>#DIV/0!</v>
      </c>
      <c r="BG72" s="6" t="e">
        <f t="shared" si="3"/>
        <v>#DIV/0!</v>
      </c>
      <c r="BH72" s="6" t="e">
        <f t="shared" si="3"/>
        <v>#DIV/0!</v>
      </c>
      <c r="BI72" s="6" t="e">
        <f t="shared" si="3"/>
        <v>#DIV/0!</v>
      </c>
      <c r="BJ72" s="6" t="e">
        <f t="shared" si="3"/>
        <v>#DIV/0!</v>
      </c>
      <c r="BK72" s="6" t="e">
        <f t="shared" si="3"/>
        <v>#DIV/0!</v>
      </c>
      <c r="BL72" s="6" t="e">
        <f t="shared" si="3"/>
        <v>#DIV/0!</v>
      </c>
      <c r="BM72" s="6" t="e">
        <f t="shared" si="3"/>
        <v>#DIV/0!</v>
      </c>
      <c r="BN72" s="6" t="e">
        <f t="shared" si="3"/>
        <v>#DIV/0!</v>
      </c>
      <c r="BO72" s="6" t="e">
        <f t="shared" ref="BO72:DZ72" si="4">STDEV(BO2:BO69)</f>
        <v>#DIV/0!</v>
      </c>
      <c r="BP72" s="6" t="e">
        <f t="shared" si="4"/>
        <v>#DIV/0!</v>
      </c>
      <c r="BQ72" s="6" t="e">
        <f t="shared" si="4"/>
        <v>#DIV/0!</v>
      </c>
      <c r="BR72" s="6" t="e">
        <f t="shared" si="4"/>
        <v>#DIV/0!</v>
      </c>
      <c r="BS72" s="6" t="e">
        <f t="shared" si="4"/>
        <v>#DIV/0!</v>
      </c>
      <c r="BT72" s="6" t="e">
        <f t="shared" si="4"/>
        <v>#DIV/0!</v>
      </c>
      <c r="BU72" s="6" t="e">
        <f t="shared" si="4"/>
        <v>#DIV/0!</v>
      </c>
      <c r="BV72" s="6" t="e">
        <f t="shared" si="4"/>
        <v>#DIV/0!</v>
      </c>
      <c r="BW72" s="6" t="e">
        <f t="shared" si="4"/>
        <v>#DIV/0!</v>
      </c>
      <c r="BX72" s="6" t="e">
        <f t="shared" si="4"/>
        <v>#DIV/0!</v>
      </c>
      <c r="BY72" s="6" t="e">
        <f t="shared" si="4"/>
        <v>#DIV/0!</v>
      </c>
      <c r="BZ72" s="6" t="e">
        <f t="shared" si="4"/>
        <v>#DIV/0!</v>
      </c>
      <c r="CA72" s="6" t="e">
        <f t="shared" si="4"/>
        <v>#DIV/0!</v>
      </c>
      <c r="CB72" s="6" t="e">
        <f t="shared" si="4"/>
        <v>#DIV/0!</v>
      </c>
      <c r="CC72" s="6" t="e">
        <f t="shared" si="4"/>
        <v>#DIV/0!</v>
      </c>
      <c r="CD72" s="6" t="e">
        <f t="shared" si="4"/>
        <v>#DIV/0!</v>
      </c>
      <c r="CE72" s="6" t="e">
        <f t="shared" si="4"/>
        <v>#DIV/0!</v>
      </c>
      <c r="CF72" s="6" t="e">
        <f t="shared" si="4"/>
        <v>#DIV/0!</v>
      </c>
      <c r="CG72" s="6" t="e">
        <f t="shared" si="4"/>
        <v>#DIV/0!</v>
      </c>
      <c r="CH72" s="6" t="e">
        <f t="shared" si="4"/>
        <v>#DIV/0!</v>
      </c>
      <c r="CI72" s="6" t="e">
        <f t="shared" si="4"/>
        <v>#DIV/0!</v>
      </c>
      <c r="CJ72" s="6" t="e">
        <f t="shared" si="4"/>
        <v>#DIV/0!</v>
      </c>
      <c r="CK72" s="6" t="e">
        <f t="shared" si="4"/>
        <v>#DIV/0!</v>
      </c>
      <c r="CL72" s="6" t="e">
        <f t="shared" si="4"/>
        <v>#DIV/0!</v>
      </c>
      <c r="CM72" s="6" t="e">
        <f t="shared" si="4"/>
        <v>#DIV/0!</v>
      </c>
      <c r="CN72" s="6" t="e">
        <f t="shared" si="4"/>
        <v>#DIV/0!</v>
      </c>
      <c r="CO72" s="6" t="e">
        <f t="shared" si="4"/>
        <v>#DIV/0!</v>
      </c>
      <c r="CP72" s="6" t="e">
        <f t="shared" si="4"/>
        <v>#DIV/0!</v>
      </c>
      <c r="CQ72" s="6" t="e">
        <f t="shared" si="4"/>
        <v>#DIV/0!</v>
      </c>
      <c r="CR72" s="6" t="e">
        <f t="shared" si="4"/>
        <v>#DIV/0!</v>
      </c>
      <c r="CS72" s="6" t="e">
        <f t="shared" si="4"/>
        <v>#DIV/0!</v>
      </c>
      <c r="CT72" s="6" t="e">
        <f t="shared" si="4"/>
        <v>#DIV/0!</v>
      </c>
      <c r="CU72" s="6" t="e">
        <f t="shared" si="4"/>
        <v>#DIV/0!</v>
      </c>
      <c r="CV72" s="6" t="e">
        <f t="shared" si="4"/>
        <v>#DIV/0!</v>
      </c>
      <c r="CW72" s="6" t="e">
        <f t="shared" si="4"/>
        <v>#DIV/0!</v>
      </c>
      <c r="CX72" s="6" t="e">
        <f t="shared" si="4"/>
        <v>#DIV/0!</v>
      </c>
      <c r="CY72" s="6" t="e">
        <f t="shared" si="4"/>
        <v>#DIV/0!</v>
      </c>
      <c r="CZ72" s="6" t="e">
        <f t="shared" si="4"/>
        <v>#DIV/0!</v>
      </c>
      <c r="DA72" s="6" t="e">
        <f t="shared" si="4"/>
        <v>#DIV/0!</v>
      </c>
      <c r="DB72" s="6" t="e">
        <f t="shared" si="4"/>
        <v>#DIV/0!</v>
      </c>
      <c r="DC72" s="6" t="e">
        <f t="shared" si="4"/>
        <v>#DIV/0!</v>
      </c>
      <c r="DD72" s="6" t="e">
        <f t="shared" si="4"/>
        <v>#DIV/0!</v>
      </c>
      <c r="DE72" s="6" t="e">
        <f t="shared" si="4"/>
        <v>#DIV/0!</v>
      </c>
      <c r="DF72" s="6" t="e">
        <f t="shared" si="4"/>
        <v>#DIV/0!</v>
      </c>
      <c r="DG72" s="6" t="e">
        <f t="shared" si="4"/>
        <v>#DIV/0!</v>
      </c>
      <c r="DH72" s="6" t="e">
        <f t="shared" si="4"/>
        <v>#DIV/0!</v>
      </c>
      <c r="DI72" s="6" t="e">
        <f t="shared" si="4"/>
        <v>#DIV/0!</v>
      </c>
      <c r="DJ72" s="6" t="e">
        <f t="shared" si="4"/>
        <v>#DIV/0!</v>
      </c>
      <c r="DK72" s="6" t="e">
        <f t="shared" si="4"/>
        <v>#DIV/0!</v>
      </c>
      <c r="DL72" s="6" t="e">
        <f t="shared" si="4"/>
        <v>#DIV/0!</v>
      </c>
      <c r="DM72" s="6" t="e">
        <f t="shared" si="4"/>
        <v>#DIV/0!</v>
      </c>
      <c r="DN72" s="6" t="e">
        <f t="shared" si="4"/>
        <v>#DIV/0!</v>
      </c>
      <c r="DO72" s="6" t="e">
        <f t="shared" si="4"/>
        <v>#DIV/0!</v>
      </c>
      <c r="DP72" s="6" t="e">
        <f t="shared" si="4"/>
        <v>#DIV/0!</v>
      </c>
      <c r="DQ72" s="6" t="e">
        <f t="shared" si="4"/>
        <v>#DIV/0!</v>
      </c>
      <c r="DR72" s="6" t="e">
        <f t="shared" si="4"/>
        <v>#DIV/0!</v>
      </c>
      <c r="DS72" s="6" t="e">
        <f t="shared" si="4"/>
        <v>#DIV/0!</v>
      </c>
      <c r="DT72" s="6" t="e">
        <f t="shared" si="4"/>
        <v>#DIV/0!</v>
      </c>
      <c r="DU72" s="6" t="e">
        <f t="shared" si="4"/>
        <v>#DIV/0!</v>
      </c>
      <c r="DV72" s="6" t="e">
        <f t="shared" si="4"/>
        <v>#DIV/0!</v>
      </c>
      <c r="DW72" s="6" t="e">
        <f t="shared" si="4"/>
        <v>#DIV/0!</v>
      </c>
      <c r="DX72" s="6" t="e">
        <f t="shared" si="4"/>
        <v>#DIV/0!</v>
      </c>
      <c r="DY72" s="6" t="e">
        <f t="shared" si="4"/>
        <v>#DIV/0!</v>
      </c>
      <c r="DZ72" s="6" t="e">
        <f t="shared" si="4"/>
        <v>#DIV/0!</v>
      </c>
      <c r="EA72" s="6" t="e">
        <f t="shared" ref="EA72:FF72" si="5">STDEV(EA2:EA69)</f>
        <v>#DIV/0!</v>
      </c>
      <c r="EB72" s="6" t="e">
        <f t="shared" si="5"/>
        <v>#DIV/0!</v>
      </c>
      <c r="EC72" s="6" t="e">
        <f t="shared" si="5"/>
        <v>#DIV/0!</v>
      </c>
      <c r="ED72" s="6" t="e">
        <f t="shared" si="5"/>
        <v>#DIV/0!</v>
      </c>
      <c r="EE72" s="6" t="e">
        <f t="shared" si="5"/>
        <v>#DIV/0!</v>
      </c>
      <c r="EF72" s="6" t="e">
        <f t="shared" si="5"/>
        <v>#DIV/0!</v>
      </c>
      <c r="EG72" s="6" t="e">
        <f t="shared" si="5"/>
        <v>#DIV/0!</v>
      </c>
      <c r="EH72" s="6" t="e">
        <f t="shared" si="5"/>
        <v>#DIV/0!</v>
      </c>
      <c r="EI72" s="6" t="e">
        <f t="shared" si="5"/>
        <v>#DIV/0!</v>
      </c>
      <c r="EJ72" s="6" t="e">
        <f t="shared" si="5"/>
        <v>#DIV/0!</v>
      </c>
      <c r="EK72" s="6" t="e">
        <f t="shared" si="5"/>
        <v>#DIV/0!</v>
      </c>
      <c r="EL72" s="6" t="e">
        <f t="shared" si="5"/>
        <v>#DIV/0!</v>
      </c>
      <c r="EM72" s="6" t="e">
        <f t="shared" si="5"/>
        <v>#DIV/0!</v>
      </c>
      <c r="EN72" s="6" t="e">
        <f t="shared" si="5"/>
        <v>#DIV/0!</v>
      </c>
      <c r="EO72" s="6" t="e">
        <f t="shared" si="5"/>
        <v>#DIV/0!</v>
      </c>
      <c r="EP72" s="6" t="e">
        <f t="shared" si="5"/>
        <v>#DIV/0!</v>
      </c>
      <c r="EQ72" s="6" t="e">
        <f t="shared" si="5"/>
        <v>#DIV/0!</v>
      </c>
      <c r="ER72" s="6" t="e">
        <f t="shared" si="5"/>
        <v>#DIV/0!</v>
      </c>
      <c r="ES72" s="6" t="e">
        <f t="shared" si="5"/>
        <v>#DIV/0!</v>
      </c>
      <c r="ET72" s="6" t="e">
        <f t="shared" si="5"/>
        <v>#DIV/0!</v>
      </c>
      <c r="EU72" s="6" t="e">
        <f t="shared" si="5"/>
        <v>#DIV/0!</v>
      </c>
      <c r="EV72" s="6" t="e">
        <f t="shared" si="5"/>
        <v>#DIV/0!</v>
      </c>
      <c r="EW72" s="6" t="e">
        <f t="shared" si="5"/>
        <v>#DIV/0!</v>
      </c>
      <c r="EX72" s="6" t="e">
        <f t="shared" si="5"/>
        <v>#DIV/0!</v>
      </c>
      <c r="EY72" s="6" t="e">
        <f t="shared" si="5"/>
        <v>#DIV/0!</v>
      </c>
      <c r="EZ72" s="6" t="e">
        <f t="shared" si="5"/>
        <v>#DIV/0!</v>
      </c>
      <c r="FA72" s="6" t="e">
        <f t="shared" si="5"/>
        <v>#DIV/0!</v>
      </c>
      <c r="FB72" s="6" t="e">
        <f t="shared" si="5"/>
        <v>#DIV/0!</v>
      </c>
      <c r="FC72" s="6" t="e">
        <f t="shared" si="5"/>
        <v>#DIV/0!</v>
      </c>
      <c r="FD72" s="6" t="e">
        <f t="shared" si="5"/>
        <v>#DIV/0!</v>
      </c>
      <c r="FE72" s="6" t="e">
        <f t="shared" si="5"/>
        <v>#DIV/0!</v>
      </c>
      <c r="FF72" s="6" t="e">
        <f t="shared" si="5"/>
        <v>#DIV/0!</v>
      </c>
    </row>
    <row r="73" spans="1:162">
      <c r="A73" s="6"/>
      <c r="B73" s="6" t="e">
        <f>1.96*(B72/SQRT(COUNT(B2:B69)))</f>
        <v>#DIV/0!</v>
      </c>
      <c r="C73" s="6" t="e">
        <f t="shared" ref="C73:BN73" si="6">1.96*(C72/SQRT(COUNT(C2:C69)))</f>
        <v>#DIV/0!</v>
      </c>
      <c r="D73" s="6" t="e">
        <f t="shared" si="6"/>
        <v>#DIV/0!</v>
      </c>
      <c r="E73" s="6" t="e">
        <f t="shared" si="6"/>
        <v>#DIV/0!</v>
      </c>
      <c r="F73" s="6" t="e">
        <f t="shared" si="6"/>
        <v>#DIV/0!</v>
      </c>
      <c r="G73" s="6" t="e">
        <f t="shared" si="6"/>
        <v>#DIV/0!</v>
      </c>
      <c r="H73" s="6" t="e">
        <f t="shared" si="6"/>
        <v>#DIV/0!</v>
      </c>
      <c r="I73" s="6" t="e">
        <f t="shared" si="6"/>
        <v>#DIV/0!</v>
      </c>
      <c r="J73" s="6" t="e">
        <f t="shared" si="6"/>
        <v>#DIV/0!</v>
      </c>
      <c r="K73" s="6" t="e">
        <f t="shared" si="6"/>
        <v>#DIV/0!</v>
      </c>
      <c r="L73" s="6" t="e">
        <f t="shared" si="6"/>
        <v>#DIV/0!</v>
      </c>
      <c r="M73" s="6" t="e">
        <f t="shared" si="6"/>
        <v>#DIV/0!</v>
      </c>
      <c r="N73" s="6" t="e">
        <f t="shared" si="6"/>
        <v>#DIV/0!</v>
      </c>
      <c r="O73" s="6" t="e">
        <f t="shared" si="6"/>
        <v>#DIV/0!</v>
      </c>
      <c r="P73" s="6" t="e">
        <f t="shared" si="6"/>
        <v>#DIV/0!</v>
      </c>
      <c r="Q73" s="6" t="e">
        <f t="shared" si="6"/>
        <v>#DIV/0!</v>
      </c>
      <c r="R73" s="6" t="e">
        <f t="shared" si="6"/>
        <v>#DIV/0!</v>
      </c>
      <c r="S73" s="6" t="e">
        <f t="shared" si="6"/>
        <v>#DIV/0!</v>
      </c>
      <c r="T73" s="6" t="e">
        <f t="shared" si="6"/>
        <v>#DIV/0!</v>
      </c>
      <c r="U73" s="6" t="e">
        <f t="shared" si="6"/>
        <v>#DIV/0!</v>
      </c>
      <c r="V73" s="6" t="e">
        <f t="shared" si="6"/>
        <v>#DIV/0!</v>
      </c>
      <c r="W73" s="6" t="e">
        <f t="shared" si="6"/>
        <v>#DIV/0!</v>
      </c>
      <c r="X73" s="6" t="e">
        <f t="shared" si="6"/>
        <v>#DIV/0!</v>
      </c>
      <c r="Y73" s="6" t="e">
        <f t="shared" si="6"/>
        <v>#DIV/0!</v>
      </c>
      <c r="Z73" s="6" t="e">
        <f t="shared" si="6"/>
        <v>#DIV/0!</v>
      </c>
      <c r="AA73" s="6" t="e">
        <f t="shared" si="6"/>
        <v>#DIV/0!</v>
      </c>
      <c r="AB73" s="6" t="e">
        <f t="shared" si="6"/>
        <v>#DIV/0!</v>
      </c>
      <c r="AC73" s="6" t="e">
        <f t="shared" si="6"/>
        <v>#DIV/0!</v>
      </c>
      <c r="AD73" s="6" t="e">
        <f t="shared" si="6"/>
        <v>#DIV/0!</v>
      </c>
      <c r="AE73" s="6" t="e">
        <f t="shared" si="6"/>
        <v>#DIV/0!</v>
      </c>
      <c r="AF73" s="6" t="e">
        <f t="shared" si="6"/>
        <v>#DIV/0!</v>
      </c>
      <c r="AG73" s="6" t="e">
        <f t="shared" si="6"/>
        <v>#DIV/0!</v>
      </c>
      <c r="AH73" s="6" t="e">
        <f t="shared" si="6"/>
        <v>#DIV/0!</v>
      </c>
      <c r="AI73" s="6" t="e">
        <f t="shared" si="6"/>
        <v>#DIV/0!</v>
      </c>
      <c r="AJ73" s="6" t="e">
        <f t="shared" si="6"/>
        <v>#DIV/0!</v>
      </c>
      <c r="AK73" s="6" t="e">
        <f t="shared" si="6"/>
        <v>#DIV/0!</v>
      </c>
      <c r="AL73" s="6" t="e">
        <f t="shared" si="6"/>
        <v>#DIV/0!</v>
      </c>
      <c r="AM73" s="6" t="e">
        <f t="shared" si="6"/>
        <v>#DIV/0!</v>
      </c>
      <c r="AN73" s="6" t="e">
        <f t="shared" si="6"/>
        <v>#DIV/0!</v>
      </c>
      <c r="AO73" s="6" t="e">
        <f t="shared" si="6"/>
        <v>#DIV/0!</v>
      </c>
      <c r="AP73" s="6" t="e">
        <f t="shared" si="6"/>
        <v>#DIV/0!</v>
      </c>
      <c r="AQ73" s="6" t="e">
        <f t="shared" si="6"/>
        <v>#DIV/0!</v>
      </c>
      <c r="AR73" s="6" t="e">
        <f t="shared" si="6"/>
        <v>#DIV/0!</v>
      </c>
      <c r="AS73" s="6" t="e">
        <f t="shared" si="6"/>
        <v>#DIV/0!</v>
      </c>
      <c r="AT73" s="6" t="e">
        <f t="shared" si="6"/>
        <v>#DIV/0!</v>
      </c>
      <c r="AU73" s="6" t="e">
        <f t="shared" si="6"/>
        <v>#DIV/0!</v>
      </c>
      <c r="AV73" s="6" t="e">
        <f t="shared" si="6"/>
        <v>#DIV/0!</v>
      </c>
      <c r="AW73" s="6" t="e">
        <f t="shared" si="6"/>
        <v>#DIV/0!</v>
      </c>
      <c r="AX73" s="6" t="e">
        <f t="shared" si="6"/>
        <v>#DIV/0!</v>
      </c>
      <c r="AY73" s="6" t="e">
        <f t="shared" si="6"/>
        <v>#DIV/0!</v>
      </c>
      <c r="AZ73" s="6" t="e">
        <f t="shared" si="6"/>
        <v>#DIV/0!</v>
      </c>
      <c r="BA73" s="6" t="e">
        <f t="shared" si="6"/>
        <v>#DIV/0!</v>
      </c>
      <c r="BB73" s="6" t="e">
        <f t="shared" si="6"/>
        <v>#DIV/0!</v>
      </c>
      <c r="BC73" s="6" t="e">
        <f t="shared" si="6"/>
        <v>#DIV/0!</v>
      </c>
      <c r="BD73" s="6" t="e">
        <f t="shared" si="6"/>
        <v>#DIV/0!</v>
      </c>
      <c r="BE73" s="6" t="e">
        <f t="shared" si="6"/>
        <v>#DIV/0!</v>
      </c>
      <c r="BF73" s="6" t="e">
        <f t="shared" si="6"/>
        <v>#DIV/0!</v>
      </c>
      <c r="BG73" s="6" t="e">
        <f t="shared" si="6"/>
        <v>#DIV/0!</v>
      </c>
      <c r="BH73" s="6" t="e">
        <f t="shared" si="6"/>
        <v>#DIV/0!</v>
      </c>
      <c r="BI73" s="6" t="e">
        <f t="shared" si="6"/>
        <v>#DIV/0!</v>
      </c>
      <c r="BJ73" s="6" t="e">
        <f t="shared" si="6"/>
        <v>#DIV/0!</v>
      </c>
      <c r="BK73" s="6" t="e">
        <f t="shared" si="6"/>
        <v>#DIV/0!</v>
      </c>
      <c r="BL73" s="6" t="e">
        <f t="shared" si="6"/>
        <v>#DIV/0!</v>
      </c>
      <c r="BM73" s="6" t="e">
        <f t="shared" si="6"/>
        <v>#DIV/0!</v>
      </c>
      <c r="BN73" s="6" t="e">
        <f t="shared" si="6"/>
        <v>#DIV/0!</v>
      </c>
      <c r="BO73" s="6" t="e">
        <f t="shared" ref="BO73:DZ73" si="7">1.96*(BO72/SQRT(COUNT(BO2:BO69)))</f>
        <v>#DIV/0!</v>
      </c>
      <c r="BP73" s="6" t="e">
        <f t="shared" si="7"/>
        <v>#DIV/0!</v>
      </c>
      <c r="BQ73" s="6" t="e">
        <f t="shared" si="7"/>
        <v>#DIV/0!</v>
      </c>
      <c r="BR73" s="6" t="e">
        <f t="shared" si="7"/>
        <v>#DIV/0!</v>
      </c>
      <c r="BS73" s="6" t="e">
        <f t="shared" si="7"/>
        <v>#DIV/0!</v>
      </c>
      <c r="BT73" s="6" t="e">
        <f t="shared" si="7"/>
        <v>#DIV/0!</v>
      </c>
      <c r="BU73" s="6" t="e">
        <f t="shared" si="7"/>
        <v>#DIV/0!</v>
      </c>
      <c r="BV73" s="6" t="e">
        <f t="shared" si="7"/>
        <v>#DIV/0!</v>
      </c>
      <c r="BW73" s="6" t="e">
        <f t="shared" si="7"/>
        <v>#DIV/0!</v>
      </c>
      <c r="BX73" s="6" t="e">
        <f t="shared" si="7"/>
        <v>#DIV/0!</v>
      </c>
      <c r="BY73" s="6" t="e">
        <f t="shared" si="7"/>
        <v>#DIV/0!</v>
      </c>
      <c r="BZ73" s="6" t="e">
        <f t="shared" si="7"/>
        <v>#DIV/0!</v>
      </c>
      <c r="CA73" s="6" t="e">
        <f t="shared" si="7"/>
        <v>#DIV/0!</v>
      </c>
      <c r="CB73" s="6" t="e">
        <f t="shared" si="7"/>
        <v>#DIV/0!</v>
      </c>
      <c r="CC73" s="6" t="e">
        <f t="shared" si="7"/>
        <v>#DIV/0!</v>
      </c>
      <c r="CD73" s="6" t="e">
        <f t="shared" si="7"/>
        <v>#DIV/0!</v>
      </c>
      <c r="CE73" s="6" t="e">
        <f t="shared" si="7"/>
        <v>#DIV/0!</v>
      </c>
      <c r="CF73" s="6" t="e">
        <f t="shared" si="7"/>
        <v>#DIV/0!</v>
      </c>
      <c r="CG73" s="6" t="e">
        <f t="shared" si="7"/>
        <v>#DIV/0!</v>
      </c>
      <c r="CH73" s="6" t="e">
        <f t="shared" si="7"/>
        <v>#DIV/0!</v>
      </c>
      <c r="CI73" s="6" t="e">
        <f t="shared" si="7"/>
        <v>#DIV/0!</v>
      </c>
      <c r="CJ73" s="6" t="e">
        <f t="shared" si="7"/>
        <v>#DIV/0!</v>
      </c>
      <c r="CK73" s="6" t="e">
        <f t="shared" si="7"/>
        <v>#DIV/0!</v>
      </c>
      <c r="CL73" s="6" t="e">
        <f t="shared" si="7"/>
        <v>#DIV/0!</v>
      </c>
      <c r="CM73" s="6" t="e">
        <f t="shared" si="7"/>
        <v>#DIV/0!</v>
      </c>
      <c r="CN73" s="6" t="e">
        <f t="shared" si="7"/>
        <v>#DIV/0!</v>
      </c>
      <c r="CO73" s="6" t="e">
        <f t="shared" si="7"/>
        <v>#DIV/0!</v>
      </c>
      <c r="CP73" s="6" t="e">
        <f t="shared" si="7"/>
        <v>#DIV/0!</v>
      </c>
      <c r="CQ73" s="6" t="e">
        <f t="shared" si="7"/>
        <v>#DIV/0!</v>
      </c>
      <c r="CR73" s="6" t="e">
        <f t="shared" si="7"/>
        <v>#DIV/0!</v>
      </c>
      <c r="CS73" s="6" t="e">
        <f t="shared" si="7"/>
        <v>#DIV/0!</v>
      </c>
      <c r="CT73" s="6" t="e">
        <f t="shared" si="7"/>
        <v>#DIV/0!</v>
      </c>
      <c r="CU73" s="6" t="e">
        <f t="shared" si="7"/>
        <v>#DIV/0!</v>
      </c>
      <c r="CV73" s="6" t="e">
        <f t="shared" si="7"/>
        <v>#DIV/0!</v>
      </c>
      <c r="CW73" s="6" t="e">
        <f t="shared" si="7"/>
        <v>#DIV/0!</v>
      </c>
      <c r="CX73" s="6" t="e">
        <f t="shared" si="7"/>
        <v>#DIV/0!</v>
      </c>
      <c r="CY73" s="6" t="e">
        <f t="shared" si="7"/>
        <v>#DIV/0!</v>
      </c>
      <c r="CZ73" s="6" t="e">
        <f t="shared" si="7"/>
        <v>#DIV/0!</v>
      </c>
      <c r="DA73" s="6" t="e">
        <f t="shared" si="7"/>
        <v>#DIV/0!</v>
      </c>
      <c r="DB73" s="6" t="e">
        <f t="shared" si="7"/>
        <v>#DIV/0!</v>
      </c>
      <c r="DC73" s="6" t="e">
        <f t="shared" si="7"/>
        <v>#DIV/0!</v>
      </c>
      <c r="DD73" s="6" t="e">
        <f t="shared" si="7"/>
        <v>#DIV/0!</v>
      </c>
      <c r="DE73" s="6" t="e">
        <f t="shared" si="7"/>
        <v>#DIV/0!</v>
      </c>
      <c r="DF73" s="6" t="e">
        <f t="shared" si="7"/>
        <v>#DIV/0!</v>
      </c>
      <c r="DG73" s="6" t="e">
        <f t="shared" si="7"/>
        <v>#DIV/0!</v>
      </c>
      <c r="DH73" s="6" t="e">
        <f t="shared" si="7"/>
        <v>#DIV/0!</v>
      </c>
      <c r="DI73" s="6" t="e">
        <f t="shared" si="7"/>
        <v>#DIV/0!</v>
      </c>
      <c r="DJ73" s="6" t="e">
        <f t="shared" si="7"/>
        <v>#DIV/0!</v>
      </c>
      <c r="DK73" s="6" t="e">
        <f t="shared" si="7"/>
        <v>#DIV/0!</v>
      </c>
      <c r="DL73" s="6" t="e">
        <f t="shared" si="7"/>
        <v>#DIV/0!</v>
      </c>
      <c r="DM73" s="6" t="e">
        <f t="shared" si="7"/>
        <v>#DIV/0!</v>
      </c>
      <c r="DN73" s="6" t="e">
        <f t="shared" si="7"/>
        <v>#DIV/0!</v>
      </c>
      <c r="DO73" s="6" t="e">
        <f t="shared" si="7"/>
        <v>#DIV/0!</v>
      </c>
      <c r="DP73" s="6" t="e">
        <f t="shared" si="7"/>
        <v>#DIV/0!</v>
      </c>
      <c r="DQ73" s="6" t="e">
        <f t="shared" si="7"/>
        <v>#DIV/0!</v>
      </c>
      <c r="DR73" s="6" t="e">
        <f t="shared" si="7"/>
        <v>#DIV/0!</v>
      </c>
      <c r="DS73" s="6" t="e">
        <f t="shared" si="7"/>
        <v>#DIV/0!</v>
      </c>
      <c r="DT73" s="6" t="e">
        <f t="shared" si="7"/>
        <v>#DIV/0!</v>
      </c>
      <c r="DU73" s="6" t="e">
        <f t="shared" si="7"/>
        <v>#DIV/0!</v>
      </c>
      <c r="DV73" s="6" t="e">
        <f t="shared" si="7"/>
        <v>#DIV/0!</v>
      </c>
      <c r="DW73" s="6" t="e">
        <f t="shared" si="7"/>
        <v>#DIV/0!</v>
      </c>
      <c r="DX73" s="6" t="e">
        <f t="shared" si="7"/>
        <v>#DIV/0!</v>
      </c>
      <c r="DY73" s="6" t="e">
        <f t="shared" si="7"/>
        <v>#DIV/0!</v>
      </c>
      <c r="DZ73" s="6" t="e">
        <f t="shared" si="7"/>
        <v>#DIV/0!</v>
      </c>
      <c r="EA73" s="6" t="e">
        <f t="shared" ref="EA73:FF73" si="8">1.96*(EA72/SQRT(COUNT(EA2:EA69)))</f>
        <v>#DIV/0!</v>
      </c>
      <c r="EB73" s="6" t="e">
        <f t="shared" si="8"/>
        <v>#DIV/0!</v>
      </c>
      <c r="EC73" s="6" t="e">
        <f t="shared" si="8"/>
        <v>#DIV/0!</v>
      </c>
      <c r="ED73" s="6" t="e">
        <f t="shared" si="8"/>
        <v>#DIV/0!</v>
      </c>
      <c r="EE73" s="6" t="e">
        <f t="shared" si="8"/>
        <v>#DIV/0!</v>
      </c>
      <c r="EF73" s="6" t="e">
        <f t="shared" si="8"/>
        <v>#DIV/0!</v>
      </c>
      <c r="EG73" s="6" t="e">
        <f t="shared" si="8"/>
        <v>#DIV/0!</v>
      </c>
      <c r="EH73" s="6" t="e">
        <f t="shared" si="8"/>
        <v>#DIV/0!</v>
      </c>
      <c r="EI73" s="6" t="e">
        <f t="shared" si="8"/>
        <v>#DIV/0!</v>
      </c>
      <c r="EJ73" s="6" t="e">
        <f t="shared" si="8"/>
        <v>#DIV/0!</v>
      </c>
      <c r="EK73" s="6" t="e">
        <f t="shared" si="8"/>
        <v>#DIV/0!</v>
      </c>
      <c r="EL73" s="6" t="e">
        <f t="shared" si="8"/>
        <v>#DIV/0!</v>
      </c>
      <c r="EM73" s="6" t="e">
        <f t="shared" si="8"/>
        <v>#DIV/0!</v>
      </c>
      <c r="EN73" s="6" t="e">
        <f t="shared" si="8"/>
        <v>#DIV/0!</v>
      </c>
      <c r="EO73" s="6" t="e">
        <f t="shared" si="8"/>
        <v>#DIV/0!</v>
      </c>
      <c r="EP73" s="6" t="e">
        <f t="shared" si="8"/>
        <v>#DIV/0!</v>
      </c>
      <c r="EQ73" s="6" t="e">
        <f t="shared" si="8"/>
        <v>#DIV/0!</v>
      </c>
      <c r="ER73" s="6" t="e">
        <f t="shared" si="8"/>
        <v>#DIV/0!</v>
      </c>
      <c r="ES73" s="6" t="e">
        <f t="shared" si="8"/>
        <v>#DIV/0!</v>
      </c>
      <c r="ET73" s="6" t="e">
        <f t="shared" si="8"/>
        <v>#DIV/0!</v>
      </c>
      <c r="EU73" s="6" t="e">
        <f t="shared" si="8"/>
        <v>#DIV/0!</v>
      </c>
      <c r="EV73" s="6" t="e">
        <f t="shared" si="8"/>
        <v>#DIV/0!</v>
      </c>
      <c r="EW73" s="6" t="e">
        <f t="shared" si="8"/>
        <v>#DIV/0!</v>
      </c>
      <c r="EX73" s="6" t="e">
        <f t="shared" si="8"/>
        <v>#DIV/0!</v>
      </c>
      <c r="EY73" s="6" t="e">
        <f t="shared" si="8"/>
        <v>#DIV/0!</v>
      </c>
      <c r="EZ73" s="6" t="e">
        <f t="shared" si="8"/>
        <v>#DIV/0!</v>
      </c>
      <c r="FA73" s="6" t="e">
        <f t="shared" si="8"/>
        <v>#DIV/0!</v>
      </c>
      <c r="FB73" s="6" t="e">
        <f t="shared" si="8"/>
        <v>#DIV/0!</v>
      </c>
      <c r="FC73" s="6" t="e">
        <f t="shared" si="8"/>
        <v>#DIV/0!</v>
      </c>
      <c r="FD73" s="6" t="e">
        <f t="shared" si="8"/>
        <v>#DIV/0!</v>
      </c>
      <c r="FE73" s="6" t="e">
        <f t="shared" si="8"/>
        <v>#DIV/0!</v>
      </c>
      <c r="FF73" s="6" t="e">
        <f t="shared" si="8"/>
        <v>#DIV/0!</v>
      </c>
    </row>
    <row r="74" spans="1:162">
      <c r="A74" s="6" t="s">
        <v>0</v>
      </c>
      <c r="B74" s="6" t="e">
        <f>AVERAGE(A2:A69)</f>
        <v>#DIV/0!</v>
      </c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  <c r="BX74" s="6"/>
      <c r="BY74" s="6"/>
      <c r="BZ74" s="6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  <c r="CR74" s="6"/>
      <c r="CS74" s="6"/>
      <c r="CT74" s="6"/>
      <c r="CU74" s="6"/>
      <c r="CV74" s="6"/>
      <c r="CW74" s="6"/>
      <c r="CX74" s="6"/>
      <c r="CY74" s="6"/>
      <c r="CZ74" s="6"/>
      <c r="DA74" s="6"/>
      <c r="DB74" s="6"/>
      <c r="DC74" s="6"/>
      <c r="DD74" s="6"/>
      <c r="DE74" s="6"/>
      <c r="DF74" s="6"/>
      <c r="DG74" s="6"/>
      <c r="DH74" s="6"/>
      <c r="DI74" s="6"/>
      <c r="DJ74" s="6"/>
      <c r="DK74" s="6"/>
      <c r="DL74" s="6"/>
      <c r="DM74" s="6"/>
      <c r="DN74" s="6"/>
      <c r="DO74" s="6"/>
      <c r="DP74" s="6"/>
      <c r="DQ74" s="6"/>
      <c r="DR74" s="6"/>
      <c r="DS74" s="6"/>
      <c r="DT74" s="6"/>
      <c r="DU74" s="6"/>
      <c r="DV74" s="6"/>
      <c r="DW74" s="6"/>
      <c r="DX74" s="6"/>
      <c r="DY74" s="6"/>
      <c r="DZ74" s="6"/>
      <c r="EA74" s="6"/>
      <c r="EB74" s="6"/>
      <c r="EC74" s="6"/>
      <c r="ED74" s="6"/>
      <c r="EE74" s="6"/>
      <c r="EF74" s="6"/>
      <c r="EG74" s="6"/>
      <c r="EH74" s="6"/>
      <c r="EI74" s="6"/>
      <c r="EJ74" s="6"/>
      <c r="EK74" s="6"/>
      <c r="EL74" s="6"/>
      <c r="EM74" s="6"/>
      <c r="EN74" s="6"/>
      <c r="EO74" s="6"/>
      <c r="EP74" s="6"/>
      <c r="EQ74" s="6"/>
      <c r="ER74" s="6"/>
      <c r="ES74" s="6"/>
      <c r="ET74" s="6"/>
      <c r="EU74" s="6"/>
      <c r="EV74" s="6"/>
      <c r="EW74" s="6"/>
      <c r="EX74" s="6"/>
      <c r="EY74" s="6"/>
      <c r="EZ74" s="6"/>
      <c r="FA74" s="6"/>
      <c r="FB74" s="6"/>
      <c r="FC74" s="6"/>
      <c r="FD74" s="6"/>
      <c r="FE74" s="6"/>
      <c r="FF7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Review normalised</vt:lpstr>
      <vt:lpstr>Review raw HR</vt:lpstr>
      <vt:lpstr>All HR</vt:lpstr>
      <vt:lpstr>&lt;280</vt:lpstr>
      <vt:lpstr>280-300</vt:lpstr>
      <vt:lpstr>300-320</vt:lpstr>
      <vt:lpstr>320-340</vt:lpstr>
      <vt:lpstr>340-360</vt:lpstr>
      <vt:lpstr>&gt;360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Simeon Morgan</dc:creator>
  <cp:lastModifiedBy>Simeon Morgan</cp:lastModifiedBy>
  <dcterms:created xsi:type="dcterms:W3CDTF">2009-11-19T00:49:12Z</dcterms:created>
  <dcterms:modified xsi:type="dcterms:W3CDTF">2009-11-27T12:32:14Z</dcterms:modified>
</cp:coreProperties>
</file>